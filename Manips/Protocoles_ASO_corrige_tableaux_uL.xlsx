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ouchaud/Desktop/Manips/"/>
    </mc:Choice>
  </mc:AlternateContent>
  <xr:revisionPtr revIDLastSave="0" documentId="13_ncr:1_{6D165A47-EFF5-2848-844F-2EC969DD397A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ynthèse" sheetId="7" r:id="rId1"/>
    <sheet name="AS026" sheetId="1" r:id="rId2"/>
    <sheet name="AS027" sheetId="2" r:id="rId3"/>
    <sheet name="AS028" sheetId="3" r:id="rId4"/>
    <sheet name="AS029" sheetId="4" r:id="rId5"/>
    <sheet name="AS030" sheetId="5" r:id="rId6"/>
    <sheet name="AS031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D7" i="7"/>
  <c r="E7" i="7"/>
  <c r="F7" i="7"/>
  <c r="G7" i="7"/>
  <c r="H7" i="7"/>
  <c r="I7" i="7"/>
  <c r="J7" i="7"/>
  <c r="K7" i="7"/>
  <c r="L7" i="7"/>
  <c r="M7" i="7"/>
  <c r="C5" i="7"/>
  <c r="D5" i="7"/>
  <c r="E5" i="7"/>
  <c r="F5" i="7"/>
  <c r="G5" i="7"/>
  <c r="H5" i="7"/>
  <c r="I5" i="7"/>
  <c r="J5" i="7"/>
  <c r="K5" i="7"/>
  <c r="L5" i="7"/>
  <c r="M5" i="7"/>
  <c r="C9" i="7"/>
  <c r="D9" i="7"/>
  <c r="E9" i="7"/>
  <c r="F9" i="7"/>
  <c r="G9" i="7"/>
  <c r="H9" i="7"/>
  <c r="I9" i="7"/>
  <c r="J9" i="7"/>
  <c r="K9" i="7"/>
  <c r="L9" i="7"/>
  <c r="M9" i="7"/>
  <c r="C8" i="7"/>
  <c r="D8" i="7"/>
  <c r="E8" i="7"/>
  <c r="F8" i="7"/>
  <c r="G8" i="7"/>
  <c r="H8" i="7"/>
  <c r="I8" i="7"/>
  <c r="J8" i="7"/>
  <c r="K8" i="7"/>
  <c r="L8" i="7"/>
  <c r="M8" i="7"/>
  <c r="C4" i="7"/>
  <c r="D4" i="7"/>
  <c r="E4" i="7"/>
  <c r="F4" i="7"/>
  <c r="G4" i="7"/>
  <c r="H4" i="7"/>
  <c r="I4" i="7"/>
  <c r="J4" i="7"/>
  <c r="K4" i="7"/>
  <c r="L4" i="7"/>
  <c r="M4" i="7"/>
  <c r="C6" i="7"/>
  <c r="D6" i="7"/>
  <c r="E6" i="7"/>
  <c r="F6" i="7"/>
  <c r="G6" i="7"/>
  <c r="H6" i="7"/>
  <c r="I6" i="7"/>
  <c r="J6" i="7"/>
  <c r="K6" i="7"/>
  <c r="L6" i="7"/>
  <c r="M6" i="7"/>
  <c r="C10" i="7"/>
  <c r="D10" i="7"/>
  <c r="E10" i="7"/>
  <c r="F10" i="7"/>
  <c r="G10" i="7"/>
  <c r="H10" i="7"/>
  <c r="I10" i="7"/>
  <c r="J10" i="7"/>
  <c r="K10" i="7"/>
  <c r="L10" i="7"/>
  <c r="M10" i="7"/>
  <c r="C11" i="7"/>
  <c r="D11" i="7"/>
  <c r="E11" i="7"/>
  <c r="F11" i="7"/>
  <c r="G11" i="7"/>
  <c r="H11" i="7"/>
  <c r="I11" i="7"/>
  <c r="J11" i="7"/>
  <c r="K11" i="7"/>
  <c r="L11" i="7"/>
  <c r="M11" i="7"/>
  <c r="C12" i="7"/>
  <c r="D12" i="7"/>
  <c r="E12" i="7"/>
  <c r="F12" i="7"/>
  <c r="G12" i="7"/>
  <c r="H12" i="7"/>
  <c r="I12" i="7"/>
  <c r="J12" i="7"/>
  <c r="K12" i="7"/>
  <c r="L12" i="7"/>
  <c r="M12" i="7"/>
  <c r="C13" i="7"/>
  <c r="D13" i="7"/>
  <c r="E13" i="7"/>
  <c r="F13" i="7"/>
  <c r="G13" i="7"/>
  <c r="H13" i="7"/>
  <c r="I13" i="7"/>
  <c r="J13" i="7"/>
  <c r="K13" i="7"/>
  <c r="L13" i="7"/>
  <c r="M13" i="7"/>
  <c r="C14" i="7"/>
  <c r="D14" i="7"/>
  <c r="E14" i="7"/>
  <c r="F14" i="7"/>
  <c r="G14" i="7"/>
  <c r="H14" i="7"/>
  <c r="I14" i="7"/>
  <c r="J14" i="7"/>
  <c r="K14" i="7"/>
  <c r="L14" i="7"/>
  <c r="M14" i="7"/>
  <c r="C15" i="7"/>
  <c r="D15" i="7"/>
  <c r="E15" i="7"/>
  <c r="F15" i="7"/>
  <c r="G15" i="7"/>
  <c r="H15" i="7"/>
  <c r="I15" i="7"/>
  <c r="J15" i="7"/>
  <c r="K15" i="7"/>
  <c r="L15" i="7"/>
  <c r="M15" i="7"/>
  <c r="C16" i="7"/>
  <c r="D16" i="7"/>
  <c r="E16" i="7"/>
  <c r="F16" i="7"/>
  <c r="G16" i="7"/>
  <c r="H16" i="7"/>
  <c r="I16" i="7"/>
  <c r="J16" i="7"/>
  <c r="K16" i="7"/>
  <c r="L16" i="7"/>
  <c r="M16" i="7"/>
  <c r="C17" i="7"/>
  <c r="D17" i="7"/>
  <c r="E17" i="7"/>
  <c r="F17" i="7"/>
  <c r="G17" i="7"/>
  <c r="H17" i="7"/>
  <c r="I17" i="7"/>
  <c r="J17" i="7"/>
  <c r="K17" i="7"/>
  <c r="L17" i="7"/>
  <c r="M17" i="7"/>
  <c r="C18" i="7"/>
  <c r="D18" i="7"/>
  <c r="E18" i="7"/>
  <c r="F18" i="7"/>
  <c r="G18" i="7"/>
  <c r="H18" i="7"/>
  <c r="I18" i="7"/>
  <c r="J18" i="7"/>
  <c r="K18" i="7"/>
  <c r="L18" i="7"/>
  <c r="M18" i="7"/>
  <c r="C19" i="7"/>
  <c r="D19" i="7"/>
  <c r="E19" i="7"/>
  <c r="F19" i="7"/>
  <c r="G19" i="7"/>
  <c r="H19" i="7"/>
  <c r="I19" i="7"/>
  <c r="J19" i="7"/>
  <c r="K19" i="7"/>
  <c r="L19" i="7"/>
  <c r="M19" i="7"/>
  <c r="C20" i="7"/>
  <c r="D20" i="7"/>
  <c r="E20" i="7"/>
  <c r="F20" i="7"/>
  <c r="G20" i="7"/>
  <c r="H20" i="7"/>
  <c r="I20" i="7"/>
  <c r="J20" i="7"/>
  <c r="K20" i="7"/>
  <c r="L20" i="7"/>
  <c r="M20" i="7"/>
  <c r="C21" i="7"/>
  <c r="D21" i="7"/>
  <c r="E21" i="7"/>
  <c r="F21" i="7"/>
  <c r="G21" i="7"/>
  <c r="H21" i="7"/>
  <c r="I21" i="7"/>
  <c r="J21" i="7"/>
  <c r="K21" i="7"/>
  <c r="L21" i="7"/>
  <c r="M21" i="7"/>
  <c r="C22" i="7"/>
  <c r="D22" i="7"/>
  <c r="E22" i="7"/>
  <c r="F22" i="7"/>
  <c r="G22" i="7"/>
  <c r="H22" i="7"/>
  <c r="I22" i="7"/>
  <c r="J22" i="7"/>
  <c r="K22" i="7"/>
  <c r="L22" i="7"/>
  <c r="M22" i="7"/>
  <c r="C23" i="7"/>
  <c r="D23" i="7"/>
  <c r="E23" i="7"/>
  <c r="F23" i="7"/>
  <c r="G23" i="7"/>
  <c r="H23" i="7"/>
  <c r="I23" i="7"/>
  <c r="J23" i="7"/>
  <c r="K23" i="7"/>
  <c r="L23" i="7"/>
  <c r="M23" i="7"/>
  <c r="C24" i="7"/>
  <c r="D24" i="7"/>
  <c r="E24" i="7"/>
  <c r="F24" i="7"/>
  <c r="G24" i="7"/>
  <c r="H24" i="7"/>
  <c r="I24" i="7"/>
  <c r="J24" i="7"/>
  <c r="K24" i="7"/>
  <c r="L24" i="7"/>
  <c r="M24" i="7"/>
  <c r="C25" i="7"/>
  <c r="D25" i="7"/>
  <c r="E25" i="7"/>
  <c r="F25" i="7"/>
  <c r="G25" i="7"/>
  <c r="H25" i="7"/>
  <c r="I25" i="7"/>
  <c r="J25" i="7"/>
  <c r="K25" i="7"/>
  <c r="L25" i="7"/>
  <c r="M25" i="7"/>
  <c r="C26" i="7"/>
  <c r="D26" i="7"/>
  <c r="E26" i="7"/>
  <c r="F26" i="7"/>
  <c r="G26" i="7"/>
  <c r="H26" i="7"/>
  <c r="I26" i="7"/>
  <c r="J26" i="7"/>
  <c r="K26" i="7"/>
  <c r="L26" i="7"/>
  <c r="M26" i="7"/>
  <c r="C27" i="7"/>
  <c r="D27" i="7"/>
  <c r="E27" i="7"/>
  <c r="F27" i="7"/>
  <c r="G27" i="7"/>
  <c r="H27" i="7"/>
  <c r="I27" i="7"/>
  <c r="J27" i="7"/>
  <c r="K27" i="7"/>
  <c r="L27" i="7"/>
  <c r="M27" i="7"/>
  <c r="C28" i="7"/>
  <c r="D28" i="7"/>
  <c r="E28" i="7"/>
  <c r="F28" i="7"/>
  <c r="G28" i="7"/>
  <c r="H28" i="7"/>
  <c r="I28" i="7"/>
  <c r="J28" i="7"/>
  <c r="K28" i="7"/>
  <c r="L28" i="7"/>
  <c r="M28" i="7"/>
  <c r="C29" i="7"/>
  <c r="D29" i="7"/>
  <c r="E29" i="7"/>
  <c r="F29" i="7"/>
  <c r="G29" i="7"/>
  <c r="H29" i="7"/>
  <c r="I29" i="7"/>
  <c r="J29" i="7"/>
  <c r="K29" i="7"/>
  <c r="L29" i="7"/>
  <c r="M29" i="7"/>
  <c r="C30" i="7"/>
  <c r="D30" i="7"/>
  <c r="E30" i="7"/>
  <c r="F30" i="7"/>
  <c r="G30" i="7"/>
  <c r="H30" i="7"/>
  <c r="I30" i="7"/>
  <c r="J30" i="7"/>
  <c r="K30" i="7"/>
  <c r="L30" i="7"/>
  <c r="M30" i="7"/>
  <c r="C31" i="7"/>
  <c r="D31" i="7"/>
  <c r="E31" i="7"/>
  <c r="F31" i="7"/>
  <c r="G31" i="7"/>
  <c r="H31" i="7"/>
  <c r="I31" i="7"/>
  <c r="J31" i="7"/>
  <c r="K31" i="7"/>
  <c r="L31" i="7"/>
  <c r="M31" i="7"/>
  <c r="C32" i="7"/>
  <c r="D32" i="7"/>
  <c r="E32" i="7"/>
  <c r="F32" i="7"/>
  <c r="G32" i="7"/>
  <c r="H32" i="7"/>
  <c r="I32" i="7"/>
  <c r="J32" i="7"/>
  <c r="K32" i="7"/>
  <c r="L32" i="7"/>
  <c r="M32" i="7"/>
</calcChain>
</file>

<file path=xl/sharedStrings.xml><?xml version="1.0" encoding="utf-8"?>
<sst xmlns="http://schemas.openxmlformats.org/spreadsheetml/2006/main" count="406" uniqueCount="82">
  <si>
    <t>Ordre d’ajout conservé. Tous les volumes ont été convertis en microlitres (uL) quand c’était lisible.</t>
  </si>
  <si>
    <t>Ordre</t>
  </si>
  <si>
    <t>Réactif</t>
  </si>
  <si>
    <t>Volume (uL)</t>
  </si>
  <si>
    <t>NP</t>
  </si>
  <si>
    <t>H2O</t>
  </si>
  <si>
    <t>PEG</t>
  </si>
  <si>
    <t>Mg</t>
  </si>
  <si>
    <t>PAN</t>
  </si>
  <si>
    <t>à vérifier</t>
  </si>
  <si>
    <t>Cu</t>
  </si>
  <si>
    <t>BRB</t>
  </si>
  <si>
    <t>EDTA</t>
  </si>
  <si>
    <t>H20</t>
  </si>
  <si>
    <t>Ca</t>
  </si>
  <si>
    <t>Légende</t>
  </si>
  <si>
    <t>AS026_1</t>
  </si>
  <si>
    <t>AS026_2</t>
  </si>
  <si>
    <t>AS026_3</t>
  </si>
  <si>
    <t>AS026_4</t>
  </si>
  <si>
    <t>AS026_5</t>
  </si>
  <si>
    <t>AS026_6</t>
  </si>
  <si>
    <t>AS026_1 — référence</t>
  </si>
  <si>
    <t>Réactif / ordre modifié vs AS026_1</t>
  </si>
  <si>
    <t>Volume modifié vs AS026_1</t>
  </si>
  <si>
    <t>AS027_1</t>
  </si>
  <si>
    <t>AS027_2</t>
  </si>
  <si>
    <t>AS027_3</t>
  </si>
  <si>
    <t>AS027_4</t>
  </si>
  <si>
    <t>AS027_5</t>
  </si>
  <si>
    <t>AS027_1 — référence</t>
  </si>
  <si>
    <t>Réactif / ordre modifié vs AS027_1</t>
  </si>
  <si>
    <t>Volume modifié vs AS027_1</t>
  </si>
  <si>
    <t>AS028_1</t>
  </si>
  <si>
    <t>AS028_2</t>
  </si>
  <si>
    <t>AS028_3</t>
  </si>
  <si>
    <t>AS028_4</t>
  </si>
  <si>
    <t>AS028_5</t>
  </si>
  <si>
    <t>AS028_1 — référence</t>
  </si>
  <si>
    <t>Volume modifié vs AS028_1</t>
  </si>
  <si>
    <t>AS029_1</t>
  </si>
  <si>
    <t>AS029_2</t>
  </si>
  <si>
    <t>AS029_3</t>
  </si>
  <si>
    <t>AS029_4</t>
  </si>
  <si>
    <t>AS029_1 — référence</t>
  </si>
  <si>
    <t>Réactif / ordre modifié vs AS029_1</t>
  </si>
  <si>
    <t>Volume modifié vs AS029_1</t>
  </si>
  <si>
    <t>AS030_1</t>
  </si>
  <si>
    <t>AS030_2</t>
  </si>
  <si>
    <t>AS030_3</t>
  </si>
  <si>
    <t>AS030_4</t>
  </si>
  <si>
    <t>AS030_5</t>
  </si>
  <si>
    <t>AS030_1 — référence</t>
  </si>
  <si>
    <t>Réactif / ordre modifié vs AS030_1</t>
  </si>
  <si>
    <t>Volume modifié vs AS030_1</t>
  </si>
  <si>
    <t>AS031_1</t>
  </si>
  <si>
    <t>AS031_2</t>
  </si>
  <si>
    <t>AS031_3</t>
  </si>
  <si>
    <t>AS031_4</t>
  </si>
  <si>
    <t>AS031_1 — référence</t>
  </si>
  <si>
    <t>Réactif / ordre modifié vs AS031_1</t>
  </si>
  <si>
    <t>Volume modifié vs AS031_1</t>
  </si>
  <si>
    <t>Synthèse — tous les échantillons (volumes en µL)</t>
  </si>
  <si>
    <t>Volumes liés par formule aux feuilles AS026–AS031. Colonnes spectres à remplir après mesure.</t>
  </si>
  <si>
    <t>ID</t>
  </si>
  <si>
    <t>Feuille</t>
  </si>
  <si>
    <t>Ordre d'ajout</t>
  </si>
  <si>
    <t>Volume total</t>
  </si>
  <si>
    <t>Nombre de coups</t>
  </si>
  <si>
    <t>Notes</t>
  </si>
  <si>
    <t>AS026</t>
  </si>
  <si>
    <t>AS027</t>
  </si>
  <si>
    <t>AS028</t>
  </si>
  <si>
    <t>AS029</t>
  </si>
  <si>
    <t>AS030</t>
  </si>
  <si>
    <t>AS031</t>
  </si>
  <si>
    <t>AS028 — remplissage des échantillons</t>
  </si>
  <si>
    <t>AS026 — remplissage des échantillons</t>
  </si>
  <si>
    <t>AS027 — remplissage des échantillons</t>
  </si>
  <si>
    <t>AS029 — remplissage des échantillons</t>
  </si>
  <si>
    <t>AS030 — remplissage des échantillons</t>
  </si>
  <si>
    <t>AS031 — remplissage des échantillons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</si>
</sst>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333333"/>
      <name val="Carlito"/>
    </font>
    <font>
      <b/>
      <sz val="11"/>
      <color rgb="FF333333"/>
      <name val="Carlito"/>
    </font>
    <font>
      <i/>
      <sz val="10"/>
      <color rgb="FF666666"/>
      <name val="Carlito"/>
    </font>
    <font>
      <sz val="11"/>
      <color rgb="FF7F6000"/>
      <name val="Carlito"/>
    </font>
    <font>
      <b/>
      <sz val="11"/>
      <color rgb="FF00000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 style="medium">
        <color rgb="FF5B9BD5"/>
      </left>
      <right style="thin">
        <color rgb="FFBDD7EE"/>
      </right>
      <top style="medium">
        <color rgb="FF5B9BD5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rgb="FF5B9BD5"/>
      </top>
      <bottom style="thin">
        <color rgb="FFBDD7EE"/>
      </bottom>
      <diagonal/>
    </border>
    <border>
      <left style="thin">
        <color rgb="FFBDD7EE"/>
      </left>
      <right style="medium">
        <color rgb="FF5B9BD5"/>
      </right>
      <top style="medium">
        <color rgb="FF5B9BD5"/>
      </top>
      <bottom style="thin">
        <color rgb="FFBDD7EE"/>
      </bottom>
      <diagonal/>
    </border>
    <border>
      <left style="medium">
        <color rgb="FF5B9BD5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5B9BD5"/>
      </right>
      <top style="thin">
        <color rgb="FFBDD7EE"/>
      </top>
      <bottom style="thin">
        <color rgb="FFBDD7EE"/>
      </bottom>
      <diagonal/>
    </border>
    <border>
      <left style="medium">
        <color rgb="FF5B9BD5"/>
      </left>
      <right style="thin">
        <color rgb="FFBDD7EE"/>
      </right>
      <top style="thin">
        <color rgb="FFBDD7EE"/>
      </top>
      <bottom style="medium">
        <color rgb="FF5B9BD5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5B9BD5"/>
      </bottom>
      <diagonal/>
    </border>
    <border>
      <left style="thin">
        <color rgb="FFBDD7EE"/>
      </left>
      <right style="medium">
        <color rgb="FF5B9BD5"/>
      </right>
      <top style="thin">
        <color rgb="FFBDD7EE"/>
      </top>
      <bottom style="medium">
        <color rgb="FF5B9BD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1" fontId="0" fillId="5" borderId="6" xfId="0" applyNumberFormat="1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1" fontId="0" fillId="5" borderId="9" xfId="0" applyNumberFormat="1" applyFill="1" applyBorder="1" applyAlignment="1">
      <alignment horizontal="left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1" fontId="0" fillId="6" borderId="6" xfId="0" applyNumberFormat="1" applyFill="1" applyBorder="1" applyAlignment="1">
      <alignment horizontal="left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left" vertical="center" wrapText="1"/>
    </xf>
    <xf numFmtId="1" fontId="0" fillId="6" borderId="9" xfId="0" applyNumberFormat="1" applyFill="1" applyBorder="1" applyAlignment="1">
      <alignment horizontal="left" vertical="center" wrapText="1"/>
    </xf>
    <xf numFmtId="1" fontId="0" fillId="7" borderId="6" xfId="0" applyNumberFormat="1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1" fontId="0" fillId="7" borderId="9" xfId="0" applyNumberFormat="1" applyFill="1" applyBorder="1" applyAlignment="1">
      <alignment horizontal="left" vertical="center" wrapText="1"/>
    </xf>
    <xf numFmtId="0" fontId="5" fillId="0" borderId="0" xfId="0" applyFont="1"/>
    <xf numFmtId="0" fontId="0" fillId="6" borderId="11" xfId="0" applyFill="1" applyBorder="1"/>
    <xf numFmtId="0" fontId="0" fillId="8" borderId="11" xfId="0" applyFill="1" applyBorder="1"/>
    <xf numFmtId="0" fontId="0" fillId="7" borderId="10" xfId="0" applyFill="1" applyBorder="1"/>
    <xf numFmtId="0" fontId="4" fillId="0" borderId="0" xfId="0" applyFont="1"/>
    <xf numFmtId="0" fontId="5" fillId="6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0" fillId="0" borderId="0" xfId="0" applyNumberFormat="1"/>
    <xf numFmtId="0" fontId="1" fillId="9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8" fillId="10" borderId="0" xfId="0" applyFont="1" applyFill="1"/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left"/>
    </xf>
    <xf numFmtId="1" fontId="0" fillId="7" borderId="6" xfId="0" applyNumberFormat="1" applyFont="1" applyFill="1" applyBorder="1" applyAlignment="1">
      <alignment horizontal="left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left"/>
    </xf>
    <xf numFmtId="1" fontId="0" fillId="5" borderId="6" xfId="0" applyNumberFormat="1" applyFont="1" applyFill="1" applyBorder="1" applyAlignment="1">
      <alignment horizontal="left"/>
    </xf>
    <xf numFmtId="0" fontId="0" fillId="5" borderId="7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left"/>
    </xf>
    <xf numFmtId="1" fontId="0" fillId="5" borderId="9" xfId="0" applyNumberFormat="1" applyFont="1" applyFill="1" applyBorder="1" applyAlignment="1">
      <alignment horizontal="left"/>
    </xf>
    <xf numFmtId="0" fontId="0" fillId="0" borderId="5" xfId="0" applyFill="1" applyBorder="1" applyAlignment="1">
      <alignment horizontal="left" vertical="center" wrapText="1"/>
    </xf>
    <xf numFmtId="1" fontId="0" fillId="0" borderId="6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12">
    <dxf>
      <alignment horizontal="left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FD58D-0202-F14A-8CDE-1074D17E0C2A}" name="Synthese" displayName="Synthese" ref="A3:O32" totalsRowShown="0">
  <autoFilter ref="A3:O32" xr:uid="{A76FD58D-0202-F14A-8CDE-1074D17E0C2A}"/>
  <tableColumns count="15">
    <tableColumn id="1" xr3:uid="{D0DA5CED-436C-8F4F-85C7-B01D8F0A0965}" name="ID"/>
    <tableColumn id="2" xr3:uid="{4E64A215-6C82-E84A-996B-04A00C00E5A4}" name="Feuille"/>
    <tableColumn id="3" xr3:uid="{7B1B4281-3FC9-264C-A65F-612485075948}" name="Ordre d'ajout" dataDxfId="0"/>
    <tableColumn id="4" xr3:uid="{C40CC293-B08C-8C43-994C-4B0BFA30FE6D}" name="PEG" dataDxfId="10"/>
    <tableColumn id="5" xr3:uid="{1F2E836D-729C-EC42-B83A-C9F1C419E73E}" name="NP" dataDxfId="9"/>
    <tableColumn id="6" xr3:uid="{AAD3C9FE-C923-4D40-A029-0B8545E33FF2}" name="Mg" dataDxfId="8"/>
    <tableColumn id="7" xr3:uid="{104E33CE-8AEE-E14A-87F4-63D61241BD24}" name="PAN" dataDxfId="7"/>
    <tableColumn id="8" xr3:uid="{E1C31083-00EA-7D4D-A5D0-334B8A606090}" name="Cu" dataDxfId="6"/>
    <tableColumn id="9" xr3:uid="{3FBD8887-2351-6240-8BA9-E6DDA34FC1A4}" name="EDTA" dataDxfId="5"/>
    <tableColumn id="10" xr3:uid="{DE0204F5-BC2D-2B45-8A9A-860352D10ED3}" name="Ca" dataDxfId="4"/>
    <tableColumn id="11" xr3:uid="{26546B0E-6B64-5046-B185-E385B6BE626A}" name="BRB" dataDxfId="3"/>
    <tableColumn id="12" xr3:uid="{3DA82082-82C1-2E4D-BDE2-D23956FF0E93}" name="H2O" dataDxfId="2"/>
    <tableColumn id="13" xr3:uid="{38F2CCC2-F2B5-0849-9526-6777782EEF62}" name="Volume total" dataDxfId="1"/>
    <tableColumn id="14" xr3:uid="{000EFC66-886F-E945-ADD4-FDBDF96E0F0A}" name="Nombre de coups" dataDxfId="11"/>
    <tableColumn id="15" xr3:uid="{25AA3EAD-2E03-CA46-8A22-1725595AF384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62D3F4-E4F3-634C-AB3A-1B507F05C0B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baf469e-b610-4064-90a8-e1d7d654215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6BAB-9C3B-0D4E-8961-16909EAA247F}">
  <dimension ref="A1:O32"/>
  <sheetViews>
    <sheetView tabSelected="1" workbookViewId="0">
      <pane ySplit="3" topLeftCell="A4" activePane="bottomLeft" state="frozen"/>
      <selection pane="bottomLeft" activeCell="A2" sqref="A2:O2"/>
    </sheetView>
  </sheetViews>
  <sheetFormatPr baseColWidth="10" defaultRowHeight="14"/>
  <cols>
    <col min="1" max="1" width="11.6640625" customWidth="1"/>
    <col min="2" max="2" width="9.6640625" customWidth="1"/>
    <col min="3" max="3" width="41.6640625" customWidth="1"/>
    <col min="4" max="8" width="8.33203125" customWidth="1"/>
    <col min="9" max="9" width="9" customWidth="1"/>
    <col min="10" max="11" width="8.33203125" customWidth="1"/>
    <col min="12" max="12" width="9.33203125" customWidth="1"/>
    <col min="13" max="13" width="13" customWidth="1"/>
    <col min="14" max="14" width="18.33203125" customWidth="1"/>
    <col min="15" max="15" width="33.33203125" customWidth="1"/>
  </cols>
  <sheetData>
    <row r="1" spans="1:15" ht="18">
      <c r="A1" s="48" t="s">
        <v>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49" t="s">
        <v>63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t="s">
        <v>64</v>
      </c>
      <c r="B3" t="s">
        <v>65</v>
      </c>
      <c r="C3" t="s">
        <v>66</v>
      </c>
      <c r="D3" s="50" t="s">
        <v>6</v>
      </c>
      <c r="E3" s="50" t="s">
        <v>4</v>
      </c>
      <c r="F3" s="50" t="s">
        <v>7</v>
      </c>
      <c r="G3" s="50" t="s">
        <v>8</v>
      </c>
      <c r="H3" s="50" t="s">
        <v>10</v>
      </c>
      <c r="I3" s="50" t="s">
        <v>12</v>
      </c>
      <c r="J3" s="50" t="s">
        <v>14</v>
      </c>
      <c r="K3" s="50" t="s">
        <v>11</v>
      </c>
      <c r="L3" s="50" t="s">
        <v>5</v>
      </c>
      <c r="M3" s="50" t="s">
        <v>67</v>
      </c>
      <c r="N3" s="53" t="s">
        <v>68</v>
      </c>
      <c r="O3" t="s">
        <v>69</v>
      </c>
    </row>
    <row r="4" spans="1:15">
      <c r="A4" t="s">
        <v>16</v>
      </c>
      <c r="B4" t="s">
        <v>70</v>
      </c>
      <c r="C4" s="52" t="str">
        <f>_xlfn.TEXTJOIN(" &gt; ",TRUE,'AS026'!B6:B10)</f>
        <v>NP &gt; PEG &gt; Mg &gt; PAN &gt; H2O</v>
      </c>
      <c r="D4" s="51">
        <f>IFERROR(INDEX('AS026'!C6:C10,MATCH("PEG",'AS026'!B6:B10,0)),"")</f>
        <v>750</v>
      </c>
      <c r="E4" s="51">
        <f>IFERROR(INDEX('AS026'!C6:C10,MATCH("NP",'AS026'!B6:B10,0)),"")</f>
        <v>750</v>
      </c>
      <c r="F4" s="51">
        <f>IFERROR(INDEX('AS026'!C6:C10,MATCH("Mg",'AS026'!B6:B10,0)),"")</f>
        <v>208</v>
      </c>
      <c r="G4" s="51">
        <f>IFERROR(INDEX('AS026'!C6:C10,MATCH("PAN",'AS026'!B6:B10,0)),"")</f>
        <v>30</v>
      </c>
      <c r="H4" s="51" t="str">
        <f>IFERROR(INDEX('AS026'!C6:C10,MATCH("Cu",'AS026'!B6:B10,0)),"")</f>
        <v/>
      </c>
      <c r="I4" s="51" t="str">
        <f>IFERROR(INDEX('AS026'!C6:C10,MATCH("EDTA",'AS026'!B6:B10,0)),"")</f>
        <v/>
      </c>
      <c r="J4" s="51" t="str">
        <f>IFERROR(INDEX('AS026'!C6:C10,MATCH("Ca",'AS026'!B6:B10,0)),"")</f>
        <v/>
      </c>
      <c r="K4" s="51" t="str">
        <f>IFERROR(INDEX('AS026'!C6:C10,MATCH("BRB",'AS026'!B6:B10,0)),"")</f>
        <v/>
      </c>
      <c r="L4" s="51">
        <f>IFERROR(INDEX('AS026'!C6:C10,MATCH("H2*",'AS026'!B6:B10,0)),"")</f>
        <v>1500</v>
      </c>
      <c r="M4" s="51">
        <f>SUM('AS026'!C6:C10)</f>
        <v>3238</v>
      </c>
      <c r="N4" s="47"/>
    </row>
    <row r="5" spans="1:15">
      <c r="A5" t="s">
        <v>17</v>
      </c>
      <c r="B5" t="s">
        <v>70</v>
      </c>
      <c r="C5" s="52" t="str">
        <f>_xlfn.TEXTJOIN(" &gt; ",TRUE,'AS026'!F6:F11)</f>
        <v>NP &gt; PEG &gt; Mg &gt; PAN &gt; Cu &gt; H20</v>
      </c>
      <c r="D5" s="51">
        <f>IFERROR(INDEX('AS026'!G6:G11,MATCH("PEG",'AS026'!F6:F11,0)),"")</f>
        <v>750</v>
      </c>
      <c r="E5" s="51">
        <f>IFERROR(INDEX('AS026'!G6:G11,MATCH("NP",'AS026'!F6:F11,0)),"")</f>
        <v>750</v>
      </c>
      <c r="F5" s="51">
        <f>IFERROR(INDEX('AS026'!G6:G11,MATCH("Mg",'AS026'!F6:F11,0)),"")</f>
        <v>416</v>
      </c>
      <c r="G5" s="51">
        <f>IFERROR(INDEX('AS026'!G6:G11,MATCH("PAN",'AS026'!F6:F11,0)),"")</f>
        <v>30</v>
      </c>
      <c r="H5" s="51">
        <f>IFERROR(INDEX('AS026'!G6:G11,MATCH("Cu",'AS026'!F6:F11,0)),"")</f>
        <v>1000</v>
      </c>
      <c r="I5" s="51" t="str">
        <f>IFERROR(INDEX('AS026'!G6:G11,MATCH("EDTA",'AS026'!F6:F11,0)),"")</f>
        <v/>
      </c>
      <c r="J5" s="51" t="str">
        <f>IFERROR(INDEX('AS026'!G6:G11,MATCH("Ca",'AS026'!F6:F11,0)),"")</f>
        <v/>
      </c>
      <c r="K5" s="51" t="str">
        <f>IFERROR(INDEX('AS026'!G6:G11,MATCH("BRB",'AS026'!F6:F11,0)),"")</f>
        <v/>
      </c>
      <c r="L5" s="51">
        <f>IFERROR(INDEX('AS026'!G6:G11,MATCH("H2*",'AS026'!F6:F11,0)),"")</f>
        <v>500</v>
      </c>
      <c r="M5" s="51">
        <f>SUM('AS026'!G6:G11)</f>
        <v>3446</v>
      </c>
      <c r="N5" s="47"/>
    </row>
    <row r="6" spans="1:15">
      <c r="A6" t="s">
        <v>18</v>
      </c>
      <c r="B6" t="s">
        <v>70</v>
      </c>
      <c r="C6" s="52" t="str">
        <f>_xlfn.TEXTJOIN(" &gt; ",TRUE,'AS026'!J6:J10)</f>
        <v>NP &gt; PEG &gt; Mg &gt; PAN &gt; H2O</v>
      </c>
      <c r="D6" s="51">
        <f>IFERROR(INDEX('AS026'!K6:K10,MATCH("PEG",'AS026'!J6:J10,0)),"")</f>
        <v>750</v>
      </c>
      <c r="E6" s="51">
        <f>IFERROR(INDEX('AS026'!K6:K10,MATCH("NP",'AS026'!J6:J10,0)),"")</f>
        <v>750</v>
      </c>
      <c r="F6" s="51">
        <f>IFERROR(INDEX('AS026'!K6:K10,MATCH("Mg",'AS026'!J6:J10,0)),"")</f>
        <v>208</v>
      </c>
      <c r="G6" s="51">
        <f>IFERROR(INDEX('AS026'!K6:K10,MATCH("PAN",'AS026'!J6:J10,0)),"")</f>
        <v>30</v>
      </c>
      <c r="H6" s="51" t="str">
        <f>IFERROR(INDEX('AS026'!K6:K10,MATCH("Cu",'AS026'!J6:J10,0)),"")</f>
        <v/>
      </c>
      <c r="I6" s="51" t="str">
        <f>IFERROR(INDEX('AS026'!K6:K10,MATCH("EDTA",'AS026'!J6:J10,0)),"")</f>
        <v/>
      </c>
      <c r="J6" s="51" t="str">
        <f>IFERROR(INDEX('AS026'!K6:K10,MATCH("Ca",'AS026'!J6:J10,0)),"")</f>
        <v/>
      </c>
      <c r="K6" s="51" t="str">
        <f>IFERROR(INDEX('AS026'!K6:K10,MATCH("BRB",'AS026'!J6:J10,0)),"")</f>
        <v/>
      </c>
      <c r="L6" s="51">
        <f>IFERROR(INDEX('AS026'!K6:K10,MATCH("H2*",'AS026'!J6:J10,0)),"")</f>
        <v>1500</v>
      </c>
      <c r="M6" s="51">
        <f>SUM('AS026'!K6:K10)</f>
        <v>3238</v>
      </c>
      <c r="N6" s="47"/>
    </row>
    <row r="7" spans="1:15">
      <c r="A7" t="s">
        <v>19</v>
      </c>
      <c r="B7" t="s">
        <v>70</v>
      </c>
      <c r="C7" s="52" t="str">
        <f>_xlfn.TEXTJOIN(" &gt; ",TRUE,'AS026'!N6:N11)</f>
        <v>NP &gt; PEG &gt; Mg &gt; PAN &gt; Cu &gt; H20</v>
      </c>
      <c r="D7" s="51">
        <f>IFERROR(INDEX('AS026'!O6:O11,MATCH("PEG",'AS026'!N6:N11,0)),"")</f>
        <v>750</v>
      </c>
      <c r="E7" s="51">
        <f>IFERROR(INDEX('AS026'!O6:O11,MATCH("NP",'AS026'!N6:N11,0)),"")</f>
        <v>750</v>
      </c>
      <c r="F7" s="51">
        <f>IFERROR(INDEX('AS026'!O6:O11,MATCH("Mg",'AS026'!N6:N11,0)),"")</f>
        <v>416</v>
      </c>
      <c r="G7" s="51">
        <f>IFERROR(INDEX('AS026'!O6:O11,MATCH("PAN",'AS026'!N6:N11,0)),"")</f>
        <v>30</v>
      </c>
      <c r="H7" s="51">
        <f>IFERROR(INDEX('AS026'!O6:O11,MATCH("Cu",'AS026'!N6:N11,0)),"")</f>
        <v>1000</v>
      </c>
      <c r="I7" s="51" t="str">
        <f>IFERROR(INDEX('AS026'!O6:O11,MATCH("EDTA",'AS026'!N6:N11,0)),"")</f>
        <v/>
      </c>
      <c r="J7" s="51" t="str">
        <f>IFERROR(INDEX('AS026'!O6:O11,MATCH("Ca",'AS026'!N6:N11,0)),"")</f>
        <v/>
      </c>
      <c r="K7" s="51" t="str">
        <f>IFERROR(INDEX('AS026'!O6:O11,MATCH("BRB",'AS026'!N6:N11,0)),"")</f>
        <v/>
      </c>
      <c r="L7" s="51">
        <f>IFERROR(INDEX('AS026'!O6:O11,MATCH("H2*",'AS026'!N6:N11,0)),"")</f>
        <v>500</v>
      </c>
      <c r="M7" s="51">
        <f>SUM('AS026'!O6:O11)</f>
        <v>3446</v>
      </c>
      <c r="N7" s="47"/>
    </row>
    <row r="8" spans="1:15">
      <c r="A8" t="s">
        <v>20</v>
      </c>
      <c r="B8" t="s">
        <v>70</v>
      </c>
      <c r="C8" s="52" t="str">
        <f>_xlfn.TEXTJOIN(" &gt; ",TRUE,'AS026'!R6:R10)</f>
        <v>NP &gt; PEG &gt; PAN &gt; Mg &gt; H2O</v>
      </c>
      <c r="D8" s="51">
        <f>IFERROR(INDEX('AS026'!S6:S10,MATCH("PEG",'AS026'!R6:R10,0)),"")</f>
        <v>750</v>
      </c>
      <c r="E8" s="51">
        <f>IFERROR(INDEX('AS026'!S6:S10,MATCH("NP",'AS026'!R6:R10,0)),"")</f>
        <v>750</v>
      </c>
      <c r="F8" s="51">
        <f>IFERROR(INDEX('AS026'!S6:S10,MATCH("Mg",'AS026'!R6:R10,0)),"")</f>
        <v>208</v>
      </c>
      <c r="G8" s="51">
        <f>IFERROR(INDEX('AS026'!S6:S10,MATCH("PAN",'AS026'!R6:R10,0)),"")</f>
        <v>30</v>
      </c>
      <c r="H8" s="51" t="str">
        <f>IFERROR(INDEX('AS026'!S6:S10,MATCH("Cu",'AS026'!R6:R10,0)),"")</f>
        <v/>
      </c>
      <c r="I8" s="51" t="str">
        <f>IFERROR(INDEX('AS026'!S6:S10,MATCH("EDTA",'AS026'!R6:R10,0)),"")</f>
        <v/>
      </c>
      <c r="J8" s="51" t="str">
        <f>IFERROR(INDEX('AS026'!S6:S10,MATCH("Ca",'AS026'!R6:R10,0)),"")</f>
        <v/>
      </c>
      <c r="K8" s="51" t="str">
        <f>IFERROR(INDEX('AS026'!S6:S10,MATCH("BRB",'AS026'!R6:R10,0)),"")</f>
        <v/>
      </c>
      <c r="L8" s="51">
        <f>IFERROR(INDEX('AS026'!S6:S10,MATCH("H2*",'AS026'!R6:R10,0)),"")</f>
        <v>1500</v>
      </c>
      <c r="M8" s="51">
        <f>SUM('AS026'!S6:S10)</f>
        <v>3238</v>
      </c>
      <c r="N8" s="47"/>
    </row>
    <row r="9" spans="1:15">
      <c r="A9" t="s">
        <v>21</v>
      </c>
      <c r="B9" t="s">
        <v>70</v>
      </c>
      <c r="C9" s="52" t="str">
        <f>_xlfn.TEXTJOIN(" &gt; ",TRUE,'AS026'!V6:V10)</f>
        <v>NP &gt; PEG &gt; Mg &gt; PAN &gt; H2O</v>
      </c>
      <c r="D9" s="51">
        <f>IFERROR(INDEX('AS026'!W6:W10,MATCH("PEG",'AS026'!V6:V10,0)),"")</f>
        <v>750</v>
      </c>
      <c r="E9" s="51">
        <f>IFERROR(INDEX('AS026'!W6:W10,MATCH("NP",'AS026'!V6:V10,0)),"")</f>
        <v>750</v>
      </c>
      <c r="F9" s="51">
        <f>IFERROR(INDEX('AS026'!W6:W10,MATCH("Mg",'AS026'!V6:V10,0)),"")</f>
        <v>208</v>
      </c>
      <c r="G9" s="51">
        <f>IFERROR(INDEX('AS026'!W6:W10,MATCH("PAN",'AS026'!V6:V10,0)),"")</f>
        <v>30</v>
      </c>
      <c r="H9" s="51" t="str">
        <f>IFERROR(INDEX('AS026'!W6:W10,MATCH("Cu",'AS026'!V6:V10,0)),"")</f>
        <v/>
      </c>
      <c r="I9" s="51" t="str">
        <f>IFERROR(INDEX('AS026'!W6:W10,MATCH("EDTA",'AS026'!V6:V10,0)),"")</f>
        <v/>
      </c>
      <c r="J9" s="51" t="str">
        <f>IFERROR(INDEX('AS026'!W6:W10,MATCH("Ca",'AS026'!V6:V10,0)),"")</f>
        <v/>
      </c>
      <c r="K9" s="51" t="str">
        <f>IFERROR(INDEX('AS026'!W6:W10,MATCH("BRB",'AS026'!V6:V10,0)),"")</f>
        <v/>
      </c>
      <c r="L9" s="51">
        <f>IFERROR(INDEX('AS026'!W6:W10,MATCH("H2*",'AS026'!V6:V10,0)),"")</f>
        <v>1500</v>
      </c>
      <c r="M9" s="51">
        <f>SUM('AS026'!W6:W10)</f>
        <v>3238</v>
      </c>
      <c r="N9" s="47"/>
    </row>
    <row r="10" spans="1:15">
      <c r="A10" t="s">
        <v>25</v>
      </c>
      <c r="B10" t="s">
        <v>71</v>
      </c>
      <c r="C10" s="52" t="str">
        <f>_xlfn.TEXTJOIN(" &gt; ",TRUE,'AS027'!B6:B11)</f>
        <v>Cu &gt; PEG &gt; NP &gt; Mg &gt; PAN &gt; H2O</v>
      </c>
      <c r="D10" s="51">
        <f>IFERROR(INDEX('AS027'!C6:C11,MATCH("PEG",'AS027'!B6:B11,0)),"")</f>
        <v>750</v>
      </c>
      <c r="E10" s="51">
        <f>IFERROR(INDEX('AS027'!C6:C11,MATCH("NP",'AS027'!B6:B11,0)),"")</f>
        <v>750</v>
      </c>
      <c r="F10" s="51">
        <f>IFERROR(INDEX('AS027'!C6:C11,MATCH("Mg",'AS027'!B6:B11,0)),"")</f>
        <v>200</v>
      </c>
      <c r="G10" s="51">
        <f>IFERROR(INDEX('AS027'!C6:C11,MATCH("PAN",'AS027'!B6:B11,0)),"")</f>
        <v>30</v>
      </c>
      <c r="H10" s="51">
        <f>IFERROR(INDEX('AS027'!C6:C11,MATCH("Cu",'AS027'!B6:B11,0)),"")</f>
        <v>1000</v>
      </c>
      <c r="I10" s="51" t="str">
        <f>IFERROR(INDEX('AS027'!C6:C11,MATCH("EDTA",'AS027'!B6:B11,0)),"")</f>
        <v/>
      </c>
      <c r="J10" s="51" t="str">
        <f>IFERROR(INDEX('AS027'!C6:C11,MATCH("Ca",'AS027'!B6:B11,0)),"")</f>
        <v/>
      </c>
      <c r="K10" s="51" t="str">
        <f>IFERROR(INDEX('AS027'!C6:C11,MATCH("BRB",'AS027'!B6:B11,0)),"")</f>
        <v/>
      </c>
      <c r="L10" s="51">
        <f>IFERROR(INDEX('AS027'!C6:C11,MATCH("H2*",'AS027'!B6:B11,0)),"")</f>
        <v>500</v>
      </c>
      <c r="M10" s="51">
        <f>SUM('AS027'!C6:C11)</f>
        <v>3230</v>
      </c>
      <c r="N10" s="47"/>
    </row>
    <row r="11" spans="1:15">
      <c r="A11" t="s">
        <v>26</v>
      </c>
      <c r="B11" t="s">
        <v>71</v>
      </c>
      <c r="C11" s="52" t="str">
        <f>_xlfn.TEXTJOIN(" &gt; ",TRUE,'AS027'!F6:F10)</f>
        <v>PEG &gt; NP &gt; Ca &gt; PAN &gt; H2O</v>
      </c>
      <c r="D11" s="51">
        <f>IFERROR(INDEX('AS027'!G6:G10,MATCH("PEG",'AS027'!F6:F10,0)),"")</f>
        <v>750</v>
      </c>
      <c r="E11" s="51">
        <f>IFERROR(INDEX('AS027'!G6:G10,MATCH("NP",'AS027'!F6:F10,0)),"")</f>
        <v>750</v>
      </c>
      <c r="F11" s="51" t="str">
        <f>IFERROR(INDEX('AS027'!G6:G10,MATCH("Mg",'AS027'!F6:F10,0)),"")</f>
        <v/>
      </c>
      <c r="G11" s="51">
        <f>IFERROR(INDEX('AS027'!G6:G10,MATCH("PAN",'AS027'!F6:F10,0)),"")</f>
        <v>30</v>
      </c>
      <c r="H11" s="51" t="str">
        <f>IFERROR(INDEX('AS027'!G6:G10,MATCH("Cu",'AS027'!F6:F10,0)),"")</f>
        <v/>
      </c>
      <c r="I11" s="51" t="str">
        <f>IFERROR(INDEX('AS027'!G6:G10,MATCH("EDTA",'AS027'!F6:F10,0)),"")</f>
        <v/>
      </c>
      <c r="J11" s="51">
        <f>IFERROR(INDEX('AS027'!G6:G10,MATCH("Ca",'AS027'!F6:F10,0)),"")</f>
        <v>200</v>
      </c>
      <c r="K11" s="51" t="str">
        <f>IFERROR(INDEX('AS027'!G6:G10,MATCH("BRB",'AS027'!F6:F10,0)),"")</f>
        <v/>
      </c>
      <c r="L11" s="51">
        <f>IFERROR(INDEX('AS027'!G6:G10,MATCH("H2*",'AS027'!F6:F10,0)),"")</f>
        <v>500</v>
      </c>
      <c r="M11" s="51">
        <f>SUM('AS027'!G6:G10)</f>
        <v>2230</v>
      </c>
      <c r="N11" s="47"/>
    </row>
    <row r="12" spans="1:15">
      <c r="A12" t="s">
        <v>27</v>
      </c>
      <c r="B12" t="s">
        <v>71</v>
      </c>
      <c r="C12" s="52" t="str">
        <f>_xlfn.TEXTJOIN(" &gt; ",TRUE,'AS027'!J6:J10)</f>
        <v>H2O &gt; PEG &gt; NP &gt; Mg &gt; H2O</v>
      </c>
      <c r="D12" s="51">
        <f>IFERROR(INDEX('AS027'!K6:K10,MATCH("PEG",'AS027'!J6:J10,0)),"")</f>
        <v>750</v>
      </c>
      <c r="E12" s="51">
        <f>IFERROR(INDEX('AS027'!K6:K10,MATCH("NP",'AS027'!J6:J10,0)),"")</f>
        <v>750</v>
      </c>
      <c r="F12" s="51">
        <f>IFERROR(INDEX('AS027'!K6:K10,MATCH("Mg",'AS027'!J6:J10,0)),"")</f>
        <v>400</v>
      </c>
      <c r="G12" s="51" t="str">
        <f>IFERROR(INDEX('AS027'!K6:K10,MATCH("PAN",'AS027'!J6:J10,0)),"")</f>
        <v/>
      </c>
      <c r="H12" s="51" t="str">
        <f>IFERROR(INDEX('AS027'!K6:K10,MATCH("Cu",'AS027'!J6:J10,0)),"")</f>
        <v/>
      </c>
      <c r="I12" s="51" t="str">
        <f>IFERROR(INDEX('AS027'!K6:K10,MATCH("EDTA",'AS027'!J6:J10,0)),"")</f>
        <v/>
      </c>
      <c r="J12" s="51" t="str">
        <f>IFERROR(INDEX('AS027'!K6:K10,MATCH("Ca",'AS027'!J6:J10,0)),"")</f>
        <v/>
      </c>
      <c r="K12" s="51" t="str">
        <f>IFERROR(INDEX('AS027'!K6:K10,MATCH("BRB",'AS027'!J6:J10,0)),"")</f>
        <v/>
      </c>
      <c r="L12" s="51">
        <f>IFERROR(INDEX('AS027'!K6:K10,MATCH("H2*",'AS027'!J6:J10,0)),"")</f>
        <v>1000</v>
      </c>
      <c r="M12" s="51">
        <f>SUM('AS027'!K6:K10)</f>
        <v>3400</v>
      </c>
      <c r="N12" s="47"/>
    </row>
    <row r="13" spans="1:15">
      <c r="A13" t="s">
        <v>28</v>
      </c>
      <c r="B13" t="s">
        <v>71</v>
      </c>
      <c r="C13" s="52" t="str">
        <f>_xlfn.TEXTJOIN(" &gt; ",TRUE,'AS027'!N6:N11)</f>
        <v>Cu &gt; PEG &gt; NP &gt; Mg &gt; PAN &gt; H2O</v>
      </c>
      <c r="D13" s="51">
        <f>IFERROR(INDEX('AS027'!O6:O11,MATCH("PEG",'AS027'!N6:N11,0)),"")</f>
        <v>750</v>
      </c>
      <c r="E13" s="51">
        <f>IFERROR(INDEX('AS027'!O6:O11,MATCH("NP",'AS027'!N6:N11,0)),"")</f>
        <v>750</v>
      </c>
      <c r="F13" s="51">
        <f>IFERROR(INDEX('AS027'!O6:O11,MATCH("Mg",'AS027'!N6:N11,0)),"")</f>
        <v>200</v>
      </c>
      <c r="G13" s="51">
        <f>IFERROR(INDEX('AS027'!O6:O11,MATCH("PAN",'AS027'!N6:N11,0)),"")</f>
        <v>30</v>
      </c>
      <c r="H13" s="51">
        <f>IFERROR(INDEX('AS027'!O6:O11,MATCH("Cu",'AS027'!N6:N11,0)),"")</f>
        <v>1000</v>
      </c>
      <c r="I13" s="51" t="str">
        <f>IFERROR(INDEX('AS027'!O6:O11,MATCH("EDTA",'AS027'!N6:N11,0)),"")</f>
        <v/>
      </c>
      <c r="J13" s="51" t="str">
        <f>IFERROR(INDEX('AS027'!O6:O11,MATCH("Ca",'AS027'!N6:N11,0)),"")</f>
        <v/>
      </c>
      <c r="K13" s="51" t="str">
        <f>IFERROR(INDEX('AS027'!O6:O11,MATCH("BRB",'AS027'!N6:N11,0)),"")</f>
        <v/>
      </c>
      <c r="L13" s="51">
        <f>IFERROR(INDEX('AS027'!O6:O11,MATCH("H2*",'AS027'!N6:N11,0)),"")</f>
        <v>500</v>
      </c>
      <c r="M13" s="51">
        <f>SUM('AS027'!O6:O11)</f>
        <v>3230</v>
      </c>
      <c r="N13" s="47"/>
    </row>
    <row r="14" spans="1:15">
      <c r="A14" t="s">
        <v>29</v>
      </c>
      <c r="B14" t="s">
        <v>71</v>
      </c>
      <c r="C14" s="52" t="str">
        <f>_xlfn.TEXTJOIN(" &gt; ",TRUE,'AS027'!R6:R11)</f>
        <v>Cu &gt; PEG &gt; NP &gt; Ca &gt; PAN &gt; H2O</v>
      </c>
      <c r="D14" s="51">
        <f>IFERROR(INDEX('AS027'!S6:S11,MATCH("PEG",'AS027'!R6:R11,0)),"")</f>
        <v>750</v>
      </c>
      <c r="E14" s="51">
        <f>IFERROR(INDEX('AS027'!S6:S11,MATCH("NP",'AS027'!R6:R11,0)),"")</f>
        <v>750</v>
      </c>
      <c r="F14" s="51" t="str">
        <f>IFERROR(INDEX('AS027'!S6:S11,MATCH("Mg",'AS027'!R6:R11,0)),"")</f>
        <v/>
      </c>
      <c r="G14" s="51">
        <f>IFERROR(INDEX('AS027'!S6:S11,MATCH("PAN",'AS027'!R6:R11,0)),"")</f>
        <v>30</v>
      </c>
      <c r="H14" s="51">
        <f>IFERROR(INDEX('AS027'!S6:S11,MATCH("Cu",'AS027'!R6:R11,0)),"")</f>
        <v>1000</v>
      </c>
      <c r="I14" s="51" t="str">
        <f>IFERROR(INDEX('AS027'!S6:S11,MATCH("EDTA",'AS027'!R6:R11,0)),"")</f>
        <v/>
      </c>
      <c r="J14" s="51">
        <f>IFERROR(INDEX('AS027'!S6:S11,MATCH("Ca",'AS027'!R6:R11,0)),"")</f>
        <v>200</v>
      </c>
      <c r="K14" s="51" t="str">
        <f>IFERROR(INDEX('AS027'!S6:S11,MATCH("BRB",'AS027'!R6:R11,0)),"")</f>
        <v/>
      </c>
      <c r="L14" s="51">
        <f>IFERROR(INDEX('AS027'!S6:S11,MATCH("H2*",'AS027'!R6:R11,0)),"")</f>
        <v>500</v>
      </c>
      <c r="M14" s="51">
        <f>SUM('AS027'!S6:S11)</f>
        <v>3230</v>
      </c>
      <c r="N14" s="47"/>
    </row>
    <row r="15" spans="1:15">
      <c r="A15" t="s">
        <v>33</v>
      </c>
      <c r="B15" t="s">
        <v>72</v>
      </c>
      <c r="C15" s="52" t="str">
        <f>_xlfn.TEXTJOIN(" &gt; ",TRUE,'AS028'!B6:B11)</f>
        <v>Cu &gt; H2O &gt; PEG &gt; NP &gt; Mg &gt; PAN</v>
      </c>
      <c r="D15" s="51">
        <f>IFERROR(INDEX('AS028'!C6:C11,MATCH("PEG",'AS028'!B6:B11,0)),"")</f>
        <v>750</v>
      </c>
      <c r="E15" s="51">
        <f>IFERROR(INDEX('AS028'!C6:C11,MATCH("NP",'AS028'!B6:B11,0)),"")</f>
        <v>750</v>
      </c>
      <c r="F15" s="51">
        <f>IFERROR(INDEX('AS028'!C6:C11,MATCH("Mg",'AS028'!B6:B11,0)),"")</f>
        <v>400</v>
      </c>
      <c r="G15" s="51">
        <f>IFERROR(INDEX('AS028'!C6:C11,MATCH("PAN",'AS028'!B6:B11,0)),"")</f>
        <v>30</v>
      </c>
      <c r="H15" s="51">
        <f>IFERROR(INDEX('AS028'!C6:C11,MATCH("Cu",'AS028'!B6:B11,0)),"")</f>
        <v>1000</v>
      </c>
      <c r="I15" s="51" t="str">
        <f>IFERROR(INDEX('AS028'!C6:C11,MATCH("EDTA",'AS028'!B6:B11,0)),"")</f>
        <v/>
      </c>
      <c r="J15" s="51" t="str">
        <f>IFERROR(INDEX('AS028'!C6:C11,MATCH("Ca",'AS028'!B6:B11,0)),"")</f>
        <v/>
      </c>
      <c r="K15" s="51" t="str">
        <f>IFERROR(INDEX('AS028'!C6:C11,MATCH("BRB",'AS028'!B6:B11,0)),"")</f>
        <v/>
      </c>
      <c r="L15" s="51">
        <f>IFERROR(INDEX('AS028'!C6:C11,MATCH("H2*",'AS028'!B6:B11,0)),"")</f>
        <v>500</v>
      </c>
      <c r="M15" s="51">
        <f>SUM('AS028'!C6:C11)</f>
        <v>3430</v>
      </c>
      <c r="N15" s="47"/>
    </row>
    <row r="16" spans="1:15">
      <c r="A16" t="s">
        <v>34</v>
      </c>
      <c r="B16" t="s">
        <v>72</v>
      </c>
      <c r="C16" s="52" t="str">
        <f>_xlfn.TEXTJOIN(" &gt; ",TRUE,'AS028'!F6:F11)</f>
        <v>Cu &gt; PEG &gt; NP &gt; Mg &gt; PAN &gt; H2O</v>
      </c>
      <c r="D16" s="51">
        <f>IFERROR(INDEX('AS028'!G6:G11,MATCH("PEG",'AS028'!F6:F11,0)),"")</f>
        <v>750</v>
      </c>
      <c r="E16" s="51">
        <f>IFERROR(INDEX('AS028'!G6:G11,MATCH("NP",'AS028'!F6:F11,0)),"")</f>
        <v>750</v>
      </c>
      <c r="F16" s="51">
        <f>IFERROR(INDEX('AS028'!G6:G11,MATCH("Mg",'AS028'!F6:F11,0)),"")</f>
        <v>400</v>
      </c>
      <c r="G16" s="51">
        <f>IFERROR(INDEX('AS028'!G6:G11,MATCH("PAN",'AS028'!F6:F11,0)),"")</f>
        <v>30</v>
      </c>
      <c r="H16" s="51">
        <f>IFERROR(INDEX('AS028'!G6:G11,MATCH("Cu",'AS028'!F6:F11,0)),"")</f>
        <v>1000</v>
      </c>
      <c r="I16" s="51" t="str">
        <f>IFERROR(INDEX('AS028'!G6:G11,MATCH("EDTA",'AS028'!F6:F11,0)),"")</f>
        <v/>
      </c>
      <c r="J16" s="51" t="str">
        <f>IFERROR(INDEX('AS028'!G6:G11,MATCH("Ca",'AS028'!F6:F11,0)),"")</f>
        <v/>
      </c>
      <c r="K16" s="51" t="str">
        <f>IFERROR(INDEX('AS028'!G6:G11,MATCH("BRB",'AS028'!F6:F11,0)),"")</f>
        <v/>
      </c>
      <c r="L16" s="51">
        <f>IFERROR(INDEX('AS028'!G6:G11,MATCH("H2*",'AS028'!F6:F11,0)),"")</f>
        <v>500</v>
      </c>
      <c r="M16" s="51">
        <f>SUM('AS028'!G6:G11)</f>
        <v>3430</v>
      </c>
      <c r="N16" s="47"/>
    </row>
    <row r="17" spans="1:14">
      <c r="A17" t="s">
        <v>35</v>
      </c>
      <c r="B17" t="s">
        <v>72</v>
      </c>
      <c r="C17" s="52" t="str">
        <f>_xlfn.TEXTJOIN(" &gt; ",TRUE,'AS028'!J6:J10)</f>
        <v>H2O &gt; PEG &gt; NP &gt; Mg &gt; PAN</v>
      </c>
      <c r="D17" s="51">
        <f>IFERROR(INDEX('AS028'!K6:K10,MATCH("PEG",'AS028'!J6:J10,0)),"")</f>
        <v>750</v>
      </c>
      <c r="E17" s="51">
        <f>IFERROR(INDEX('AS028'!K6:K10,MATCH("NP",'AS028'!J6:J10,0)),"")</f>
        <v>750</v>
      </c>
      <c r="F17" s="51">
        <f>IFERROR(INDEX('AS028'!K6:K10,MATCH("Mg",'AS028'!J6:J10,0)),"")</f>
        <v>400</v>
      </c>
      <c r="G17" s="51">
        <f>IFERROR(INDEX('AS028'!K6:K10,MATCH("PAN",'AS028'!J6:J10,0)),"")</f>
        <v>30</v>
      </c>
      <c r="H17" s="51" t="str">
        <f>IFERROR(INDEX('AS028'!K6:K10,MATCH("Cu",'AS028'!J6:J10,0)),"")</f>
        <v/>
      </c>
      <c r="I17" s="51" t="str">
        <f>IFERROR(INDEX('AS028'!K6:K10,MATCH("EDTA",'AS028'!J6:J10,0)),"")</f>
        <v/>
      </c>
      <c r="J17" s="51" t="str">
        <f>IFERROR(INDEX('AS028'!K6:K10,MATCH("Ca",'AS028'!J6:J10,0)),"")</f>
        <v/>
      </c>
      <c r="K17" s="51" t="str">
        <f>IFERROR(INDEX('AS028'!K6:K10,MATCH("BRB",'AS028'!J6:J10,0)),"")</f>
        <v/>
      </c>
      <c r="L17" s="51">
        <f>IFERROR(INDEX('AS028'!K6:K10,MATCH("H2*",'AS028'!J6:J10,0)),"")</f>
        <v>500</v>
      </c>
      <c r="M17" s="51">
        <f>SUM('AS028'!K6:K10)</f>
        <v>2430</v>
      </c>
      <c r="N17" s="47"/>
    </row>
    <row r="18" spans="1:14">
      <c r="A18" t="s">
        <v>36</v>
      </c>
      <c r="B18" t="s">
        <v>72</v>
      </c>
      <c r="C18" s="52" t="str">
        <f>_xlfn.TEXTJOIN(" &gt; ",TRUE,'AS028'!N6:N11)</f>
        <v>PEG &gt; NP &gt; Mg &gt; PAN &gt; Cu &gt; H2O</v>
      </c>
      <c r="D18" s="51">
        <f>IFERROR(INDEX('AS028'!O6:O11,MATCH("PEG",'AS028'!N6:N11,0)),"")</f>
        <v>750</v>
      </c>
      <c r="E18" s="51">
        <f>IFERROR(INDEX('AS028'!O6:O11,MATCH("NP",'AS028'!N6:N11,0)),"")</f>
        <v>750</v>
      </c>
      <c r="F18" s="51">
        <f>IFERROR(INDEX('AS028'!O6:O11,MATCH("Mg",'AS028'!N6:N11,0)),"")</f>
        <v>400</v>
      </c>
      <c r="G18" s="51">
        <f>IFERROR(INDEX('AS028'!O6:O11,MATCH("PAN",'AS028'!N6:N11,0)),"")</f>
        <v>30</v>
      </c>
      <c r="H18" s="51">
        <f>IFERROR(INDEX('AS028'!O6:O11,MATCH("Cu",'AS028'!N6:N11,0)),"")</f>
        <v>1000</v>
      </c>
      <c r="I18" s="51" t="str">
        <f>IFERROR(INDEX('AS028'!O6:O11,MATCH("EDTA",'AS028'!N6:N11,0)),"")</f>
        <v/>
      </c>
      <c r="J18" s="51" t="str">
        <f>IFERROR(INDEX('AS028'!O6:O11,MATCH("Ca",'AS028'!N6:N11,0)),"")</f>
        <v/>
      </c>
      <c r="K18" s="51" t="str">
        <f>IFERROR(INDEX('AS028'!O6:O11,MATCH("BRB",'AS028'!N6:N11,0)),"")</f>
        <v/>
      </c>
      <c r="L18" s="51">
        <f>IFERROR(INDEX('AS028'!O6:O11,MATCH("H2*",'AS028'!N6:N11,0)),"")</f>
        <v>500</v>
      </c>
      <c r="M18" s="51">
        <f>SUM('AS028'!O6:O11)</f>
        <v>3430</v>
      </c>
      <c r="N18" s="47"/>
    </row>
    <row r="19" spans="1:14">
      <c r="A19" t="s">
        <v>37</v>
      </c>
      <c r="B19" t="s">
        <v>72</v>
      </c>
      <c r="C19" s="52" t="str">
        <f>_xlfn.TEXTJOIN(" &gt; ",TRUE,'AS028'!R6:R11)</f>
        <v>PEG &gt; NP &gt; Mg &gt; PAN &gt; H2O &gt; Cu</v>
      </c>
      <c r="D19" s="51">
        <f>IFERROR(INDEX('AS028'!S6:S11,MATCH("PEG",'AS028'!R6:R11,0)),"")</f>
        <v>750</v>
      </c>
      <c r="E19" s="51">
        <f>IFERROR(INDEX('AS028'!S6:S11,MATCH("NP",'AS028'!R6:R11,0)),"")</f>
        <v>750</v>
      </c>
      <c r="F19" s="51">
        <f>IFERROR(INDEX('AS028'!S6:S11,MATCH("Mg",'AS028'!R6:R11,0)),"")</f>
        <v>400</v>
      </c>
      <c r="G19" s="51">
        <f>IFERROR(INDEX('AS028'!S6:S11,MATCH("PAN",'AS028'!R6:R11,0)),"")</f>
        <v>30</v>
      </c>
      <c r="H19" s="51">
        <f>IFERROR(INDEX('AS028'!S6:S11,MATCH("Cu",'AS028'!R6:R11,0)),"")</f>
        <v>1000</v>
      </c>
      <c r="I19" s="51" t="str">
        <f>IFERROR(INDEX('AS028'!S6:S11,MATCH("EDTA",'AS028'!R6:R11,0)),"")</f>
        <v/>
      </c>
      <c r="J19" s="51" t="str">
        <f>IFERROR(INDEX('AS028'!S6:S11,MATCH("Ca",'AS028'!R6:R11,0)),"")</f>
        <v/>
      </c>
      <c r="K19" s="51" t="str">
        <f>IFERROR(INDEX('AS028'!S6:S11,MATCH("BRB",'AS028'!R6:R11,0)),"")</f>
        <v/>
      </c>
      <c r="L19" s="51">
        <f>IFERROR(INDEX('AS028'!S6:S11,MATCH("H2*",'AS028'!R6:R11,0)),"")</f>
        <v>500</v>
      </c>
      <c r="M19" s="51">
        <f>SUM('AS028'!S6:S11)</f>
        <v>3430</v>
      </c>
      <c r="N19" s="47"/>
    </row>
    <row r="20" spans="1:14">
      <c r="A20" t="s">
        <v>40</v>
      </c>
      <c r="B20" t="s">
        <v>73</v>
      </c>
      <c r="C20" s="52" t="str">
        <f>_xlfn.TEXTJOIN(" &gt; ",TRUE,'AS029'!B6:B11)</f>
        <v>PEG &gt; NP &gt; Mg &gt; PAN &gt; Cu &gt; BRB</v>
      </c>
      <c r="D20" s="51">
        <f>IFERROR(INDEX('AS029'!C6:C11,MATCH("PEG",'AS029'!B6:B11,0)),"")</f>
        <v>750</v>
      </c>
      <c r="E20" s="51">
        <f>IFERROR(INDEX('AS029'!C6:C11,MATCH("NP",'AS029'!B6:B11,0)),"")</f>
        <v>750</v>
      </c>
      <c r="F20" s="51">
        <f>IFERROR(INDEX('AS029'!C6:C11,MATCH("Mg",'AS029'!B6:B11,0)),"")</f>
        <v>800</v>
      </c>
      <c r="G20" s="51">
        <f>IFERROR(INDEX('AS029'!C6:C11,MATCH("PAN",'AS029'!B6:B11,0)),"")</f>
        <v>30</v>
      </c>
      <c r="H20" s="51">
        <f>IFERROR(INDEX('AS029'!C6:C11,MATCH("Cu",'AS029'!B6:B11,0)),"")</f>
        <v>1000</v>
      </c>
      <c r="I20" s="51" t="str">
        <f>IFERROR(INDEX('AS029'!C6:C11,MATCH("EDTA",'AS029'!B6:B11,0)),"")</f>
        <v/>
      </c>
      <c r="J20" s="51" t="str">
        <f>IFERROR(INDEX('AS029'!C6:C11,MATCH("Ca",'AS029'!B6:B11,0)),"")</f>
        <v/>
      </c>
      <c r="K20" s="51">
        <f>IFERROR(INDEX('AS029'!C6:C11,MATCH("BRB",'AS029'!B6:B11,0)),"")</f>
        <v>100</v>
      </c>
      <c r="L20" s="51" t="str">
        <f>IFERROR(INDEX('AS029'!C6:C11,MATCH("H2*",'AS029'!B6:B11,0)),"")</f>
        <v/>
      </c>
      <c r="M20" s="51">
        <f>SUM('AS029'!C6:C11)</f>
        <v>3430</v>
      </c>
      <c r="N20" s="47"/>
    </row>
    <row r="21" spans="1:14">
      <c r="A21" t="s">
        <v>41</v>
      </c>
      <c r="B21" t="s">
        <v>73</v>
      </c>
      <c r="C21" s="52" t="str">
        <f>_xlfn.TEXTJOIN(" &gt; ",TRUE,'AS029'!F6:F11)</f>
        <v>PEG &gt; NP &gt; Mg &gt; PAN &gt; BRB &gt; Cu</v>
      </c>
      <c r="D21" s="51">
        <f>IFERROR(INDEX('AS029'!G6:G11,MATCH("PEG",'AS029'!F6:F11,0)),"")</f>
        <v>750</v>
      </c>
      <c r="E21" s="51">
        <f>IFERROR(INDEX('AS029'!G6:G11,MATCH("NP",'AS029'!F6:F11,0)),"")</f>
        <v>750</v>
      </c>
      <c r="F21" s="51">
        <f>IFERROR(INDEX('AS029'!G6:G11,MATCH("Mg",'AS029'!F6:F11,0)),"")</f>
        <v>800</v>
      </c>
      <c r="G21" s="51">
        <f>IFERROR(INDEX('AS029'!G6:G11,MATCH("PAN",'AS029'!F6:F11,0)),"")</f>
        <v>30</v>
      </c>
      <c r="H21" s="51">
        <f>IFERROR(INDEX('AS029'!G6:G11,MATCH("Cu",'AS029'!F6:F11,0)),"")</f>
        <v>1000</v>
      </c>
      <c r="I21" s="51" t="str">
        <f>IFERROR(INDEX('AS029'!G6:G11,MATCH("EDTA",'AS029'!F6:F11,0)),"")</f>
        <v/>
      </c>
      <c r="J21" s="51" t="str">
        <f>IFERROR(INDEX('AS029'!G6:G11,MATCH("Ca",'AS029'!F6:F11,0)),"")</f>
        <v/>
      </c>
      <c r="K21" s="51">
        <f>IFERROR(INDEX('AS029'!G6:G11,MATCH("BRB",'AS029'!F6:F11,0)),"")</f>
        <v>100</v>
      </c>
      <c r="L21" s="51" t="str">
        <f>IFERROR(INDEX('AS029'!G6:G11,MATCH("H2*",'AS029'!F6:F11,0)),"")</f>
        <v/>
      </c>
      <c r="M21" s="51">
        <f>SUM('AS029'!G6:G11)</f>
        <v>3430</v>
      </c>
      <c r="N21" s="47"/>
    </row>
    <row r="22" spans="1:14">
      <c r="A22" t="s">
        <v>42</v>
      </c>
      <c r="B22" t="s">
        <v>73</v>
      </c>
      <c r="C22" s="52" t="str">
        <f>_xlfn.TEXTJOIN(" &gt; ",TRUE,'AS029'!J6:J11)</f>
        <v>PEG &gt; NP &gt; Mg &gt; PAN &gt; Cu &gt; BRB</v>
      </c>
      <c r="D22" s="51">
        <f>IFERROR(INDEX('AS029'!K6:K11,MATCH("PEG",'AS029'!J6:J11,0)),"")</f>
        <v>750</v>
      </c>
      <c r="E22" s="51">
        <f>IFERROR(INDEX('AS029'!K6:K11,MATCH("NP",'AS029'!J6:J11,0)),"")</f>
        <v>750</v>
      </c>
      <c r="F22" s="51">
        <f>IFERROR(INDEX('AS029'!K6:K11,MATCH("Mg",'AS029'!J6:J11,0)),"")</f>
        <v>400</v>
      </c>
      <c r="G22" s="51">
        <f>IFERROR(INDEX('AS029'!K6:K11,MATCH("PAN",'AS029'!J6:J11,0)),"")</f>
        <v>30</v>
      </c>
      <c r="H22" s="51">
        <f>IFERROR(INDEX('AS029'!K6:K11,MATCH("Cu",'AS029'!J6:J11,0)),"")</f>
        <v>1000</v>
      </c>
      <c r="I22" s="51" t="str">
        <f>IFERROR(INDEX('AS029'!K6:K11,MATCH("EDTA",'AS029'!J6:J11,0)),"")</f>
        <v/>
      </c>
      <c r="J22" s="51" t="str">
        <f>IFERROR(INDEX('AS029'!K6:K11,MATCH("Ca",'AS029'!J6:J11,0)),"")</f>
        <v/>
      </c>
      <c r="K22" s="51">
        <f>IFERROR(INDEX('AS029'!K6:K11,MATCH("BRB",'AS029'!J6:J11,0)),"")</f>
        <v>100</v>
      </c>
      <c r="L22" s="51" t="str">
        <f>IFERROR(INDEX('AS029'!K6:K11,MATCH("H2*",'AS029'!J6:J11,0)),"")</f>
        <v/>
      </c>
      <c r="M22" s="51">
        <f>SUM('AS029'!K6:K11)</f>
        <v>3030</v>
      </c>
      <c r="N22" s="47"/>
    </row>
    <row r="23" spans="1:14">
      <c r="A23" t="s">
        <v>43</v>
      </c>
      <c r="B23" t="s">
        <v>73</v>
      </c>
      <c r="C23" s="52" t="str">
        <f>_xlfn.TEXTJOIN(" &gt; ",TRUE,'AS029'!N6:N11)</f>
        <v>PEG &gt; NP &gt; Mg &gt; PAN &gt; BRB &gt; Cu</v>
      </c>
      <c r="D23" s="51">
        <f>IFERROR(INDEX('AS029'!O6:O11,MATCH("PEG",'AS029'!N6:N11,0)),"")</f>
        <v>750</v>
      </c>
      <c r="E23" s="51">
        <f>IFERROR(INDEX('AS029'!O6:O11,MATCH("NP",'AS029'!N6:N11,0)),"")</f>
        <v>750</v>
      </c>
      <c r="F23" s="51">
        <f>IFERROR(INDEX('AS029'!O6:O11,MATCH("Mg",'AS029'!N6:N11,0)),"")</f>
        <v>400</v>
      </c>
      <c r="G23" s="51">
        <f>IFERROR(INDEX('AS029'!O6:O11,MATCH("PAN",'AS029'!N6:N11,0)),"")</f>
        <v>30</v>
      </c>
      <c r="H23" s="51">
        <f>IFERROR(INDEX('AS029'!O6:O11,MATCH("Cu",'AS029'!N6:N11,0)),"")</f>
        <v>1000</v>
      </c>
      <c r="I23" s="51" t="str">
        <f>IFERROR(INDEX('AS029'!O6:O11,MATCH("EDTA",'AS029'!N6:N11,0)),"")</f>
        <v/>
      </c>
      <c r="J23" s="51" t="str">
        <f>IFERROR(INDEX('AS029'!O6:O11,MATCH("Ca",'AS029'!N6:N11,0)),"")</f>
        <v/>
      </c>
      <c r="K23" s="51">
        <f>IFERROR(INDEX('AS029'!O6:O11,MATCH("BRB",'AS029'!N6:N11,0)),"")</f>
        <v>500</v>
      </c>
      <c r="L23" s="51" t="str">
        <f>IFERROR(INDEX('AS029'!O6:O11,MATCH("H2*",'AS029'!N6:N11,0)),"")</f>
        <v/>
      </c>
      <c r="M23" s="51">
        <f>SUM('AS029'!O6:O11)</f>
        <v>3430</v>
      </c>
      <c r="N23" s="47"/>
    </row>
    <row r="24" spans="1:14">
      <c r="A24" t="s">
        <v>47</v>
      </c>
      <c r="B24" t="s">
        <v>74</v>
      </c>
      <c r="C24" s="52" t="str">
        <f>_xlfn.TEXTJOIN(" &gt; ",TRUE,'AS030'!B6:B12)</f>
        <v>PEG &gt; NP &gt; Mg &gt; PAN &gt; Cu &gt; EDTA &gt; H2O</v>
      </c>
      <c r="D24" s="51">
        <f>IFERROR(INDEX('AS030'!C6:C12,MATCH("PEG",'AS030'!B6:B12,0)),"")</f>
        <v>750</v>
      </c>
      <c r="E24" s="51">
        <f>IFERROR(INDEX('AS030'!C6:C12,MATCH("NP",'AS030'!B6:B12,0)),"")</f>
        <v>750</v>
      </c>
      <c r="F24" s="51">
        <f>IFERROR(INDEX('AS030'!C6:C12,MATCH("Mg",'AS030'!B6:B12,0)),"")</f>
        <v>400</v>
      </c>
      <c r="G24" s="51">
        <f>IFERROR(INDEX('AS030'!C6:C12,MATCH("PAN",'AS030'!B6:B12,0)),"")</f>
        <v>30</v>
      </c>
      <c r="H24" s="51">
        <f>IFERROR(INDEX('AS030'!C6:C12,MATCH("Cu",'AS030'!B6:B12,0)),"")</f>
        <v>1000</v>
      </c>
      <c r="I24" s="51">
        <f>IFERROR(INDEX('AS030'!C6:C12,MATCH("EDTA",'AS030'!B6:B12,0)),"")</f>
        <v>0</v>
      </c>
      <c r="J24" s="51" t="str">
        <f>IFERROR(INDEX('AS030'!C6:C12,MATCH("Ca",'AS030'!B6:B12,0)),"")</f>
        <v/>
      </c>
      <c r="K24" s="51" t="str">
        <f>IFERROR(INDEX('AS030'!C6:C12,MATCH("BRB",'AS030'!B6:B12,0)),"")</f>
        <v/>
      </c>
      <c r="L24" s="51">
        <f>IFERROR(INDEX('AS030'!C6:C12,MATCH("H2*",'AS030'!B6:B12,0)),"")</f>
        <v>500</v>
      </c>
      <c r="M24" s="51">
        <f>SUM('AS030'!C6:C12)</f>
        <v>3430</v>
      </c>
      <c r="N24" s="47"/>
    </row>
    <row r="25" spans="1:14">
      <c r="A25" t="s">
        <v>48</v>
      </c>
      <c r="B25" t="s">
        <v>74</v>
      </c>
      <c r="C25" s="52" t="str">
        <f>_xlfn.TEXTJOIN(" &gt; ",TRUE,'AS030'!F6:F12)</f>
        <v>PEG &gt; NP &gt; Mg &gt; PAN &gt; Cu &gt; EDTA &gt; H2O</v>
      </c>
      <c r="D25" s="51">
        <f>IFERROR(INDEX('AS030'!G6:G12,MATCH("PEG",'AS030'!F6:F12,0)),"")</f>
        <v>750</v>
      </c>
      <c r="E25" s="51">
        <f>IFERROR(INDEX('AS030'!G6:G12,MATCH("NP",'AS030'!F6:F12,0)),"")</f>
        <v>750</v>
      </c>
      <c r="F25" s="51">
        <f>IFERROR(INDEX('AS030'!G6:G12,MATCH("Mg",'AS030'!F6:F12,0)),"")</f>
        <v>400</v>
      </c>
      <c r="G25" s="51">
        <f>IFERROR(INDEX('AS030'!G6:G12,MATCH("PAN",'AS030'!F6:F12,0)),"")</f>
        <v>30</v>
      </c>
      <c r="H25" s="51">
        <f>IFERROR(INDEX('AS030'!G6:G12,MATCH("Cu",'AS030'!F6:F12,0)),"")</f>
        <v>1000</v>
      </c>
      <c r="I25" s="51">
        <f>IFERROR(INDEX('AS030'!G6:G12,MATCH("EDTA",'AS030'!F6:F12,0)),"")</f>
        <v>25</v>
      </c>
      <c r="J25" s="51" t="str">
        <f>IFERROR(INDEX('AS030'!G6:G12,MATCH("Ca",'AS030'!F6:F12,0)),"")</f>
        <v/>
      </c>
      <c r="K25" s="51" t="str">
        <f>IFERROR(INDEX('AS030'!G6:G12,MATCH("BRB",'AS030'!F6:F12,0)),"")</f>
        <v/>
      </c>
      <c r="L25" s="51">
        <f>IFERROR(INDEX('AS030'!G6:G12,MATCH("H2*",'AS030'!F6:F12,0)),"")</f>
        <v>475</v>
      </c>
      <c r="M25" s="51">
        <f>SUM('AS030'!G6:G12)</f>
        <v>3430</v>
      </c>
      <c r="N25" s="47"/>
    </row>
    <row r="26" spans="1:14">
      <c r="A26" t="s">
        <v>49</v>
      </c>
      <c r="B26" t="s">
        <v>74</v>
      </c>
      <c r="C26" s="52" t="str">
        <f>_xlfn.TEXTJOIN(" &gt; ",TRUE,'AS030'!J6:J12)</f>
        <v>PEG &gt; NP &gt; Mg &gt; PAN &gt; Cu &gt; EDTA &gt; H2O</v>
      </c>
      <c r="D26" s="51">
        <f>IFERROR(INDEX('AS030'!K6:K12,MATCH("PEG",'AS030'!J6:J12,0)),"")</f>
        <v>750</v>
      </c>
      <c r="E26" s="51">
        <f>IFERROR(INDEX('AS030'!K6:K12,MATCH("NP",'AS030'!J6:J12,0)),"")</f>
        <v>750</v>
      </c>
      <c r="F26" s="51">
        <f>IFERROR(INDEX('AS030'!K6:K12,MATCH("Mg",'AS030'!J6:J12,0)),"")</f>
        <v>400</v>
      </c>
      <c r="G26" s="51">
        <f>IFERROR(INDEX('AS030'!K6:K12,MATCH("PAN",'AS030'!J6:J12,0)),"")</f>
        <v>30</v>
      </c>
      <c r="H26" s="51">
        <f>IFERROR(INDEX('AS030'!K6:K12,MATCH("Cu",'AS030'!J6:J12,0)),"")</f>
        <v>1000</v>
      </c>
      <c r="I26" s="51">
        <f>IFERROR(INDEX('AS030'!K6:K12,MATCH("EDTA",'AS030'!J6:J12,0)),"")</f>
        <v>50</v>
      </c>
      <c r="J26" s="51" t="str">
        <f>IFERROR(INDEX('AS030'!K6:K12,MATCH("Ca",'AS030'!J6:J12,0)),"")</f>
        <v/>
      </c>
      <c r="K26" s="51" t="str">
        <f>IFERROR(INDEX('AS030'!K6:K12,MATCH("BRB",'AS030'!J6:J12,0)),"")</f>
        <v/>
      </c>
      <c r="L26" s="51">
        <f>IFERROR(INDEX('AS030'!K6:K12,MATCH("H2*",'AS030'!J6:J12,0)),"")</f>
        <v>450</v>
      </c>
      <c r="M26" s="51">
        <f>SUM('AS030'!K6:K12)</f>
        <v>3430</v>
      </c>
      <c r="N26" s="47"/>
    </row>
    <row r="27" spans="1:14">
      <c r="A27" t="s">
        <v>50</v>
      </c>
      <c r="B27" t="s">
        <v>74</v>
      </c>
      <c r="C27" s="52" t="str">
        <f>_xlfn.TEXTJOIN(" &gt; ",TRUE,'AS030'!N6:N12)</f>
        <v>PEG &gt; NP &gt; Mg &gt; PAN &gt; Cu &gt; EDTA &gt; H2O</v>
      </c>
      <c r="D27" s="51">
        <f>IFERROR(INDEX('AS030'!O6:O12,MATCH("PEG",'AS030'!N6:N12,0)),"")</f>
        <v>750</v>
      </c>
      <c r="E27" s="51">
        <f>IFERROR(INDEX('AS030'!O6:O12,MATCH("NP",'AS030'!N6:N12,0)),"")</f>
        <v>750</v>
      </c>
      <c r="F27" s="51">
        <f>IFERROR(INDEX('AS030'!O6:O12,MATCH("Mg",'AS030'!N6:N12,0)),"")</f>
        <v>400</v>
      </c>
      <c r="G27" s="51">
        <f>IFERROR(INDEX('AS030'!O6:O12,MATCH("PAN",'AS030'!N6:N12,0)),"")</f>
        <v>30</v>
      </c>
      <c r="H27" s="51">
        <f>IFERROR(INDEX('AS030'!O6:O12,MATCH("Cu",'AS030'!N6:N12,0)),"")</f>
        <v>1000</v>
      </c>
      <c r="I27" s="51">
        <f>IFERROR(INDEX('AS030'!O6:O12,MATCH("EDTA",'AS030'!N6:N12,0)),"")</f>
        <v>75</v>
      </c>
      <c r="J27" s="51" t="str">
        <f>IFERROR(INDEX('AS030'!O6:O12,MATCH("Ca",'AS030'!N6:N12,0)),"")</f>
        <v/>
      </c>
      <c r="K27" s="51" t="str">
        <f>IFERROR(INDEX('AS030'!O6:O12,MATCH("BRB",'AS030'!N6:N12,0)),"")</f>
        <v/>
      </c>
      <c r="L27" s="51">
        <f>IFERROR(INDEX('AS030'!O6:O12,MATCH("H2*",'AS030'!N6:N12,0)),"")</f>
        <v>425</v>
      </c>
      <c r="M27" s="51">
        <f>SUM('AS030'!O6:O12)</f>
        <v>3430</v>
      </c>
      <c r="N27" s="47"/>
    </row>
    <row r="28" spans="1:14">
      <c r="A28" t="s">
        <v>51</v>
      </c>
      <c r="B28" t="s">
        <v>74</v>
      </c>
      <c r="C28" s="52" t="str">
        <f>_xlfn.TEXTJOIN(" &gt; ",TRUE,'AS030'!R6:R12)</f>
        <v>PEG &gt; NP &gt; PAN &gt; Mg &gt; Cu &gt; EDTA &gt; H2O</v>
      </c>
      <c r="D28" s="51">
        <f>IFERROR(INDEX('AS030'!S6:S12,MATCH("PEG",'AS030'!R6:R12,0)),"")</f>
        <v>750</v>
      </c>
      <c r="E28" s="51">
        <f>IFERROR(INDEX('AS030'!S6:S12,MATCH("NP",'AS030'!R6:R12,0)),"")</f>
        <v>750</v>
      </c>
      <c r="F28" s="51">
        <f>IFERROR(INDEX('AS030'!S6:S12,MATCH("Mg",'AS030'!R6:R12,0)),"")</f>
        <v>400</v>
      </c>
      <c r="G28" s="51">
        <f>IFERROR(INDEX('AS030'!S6:S12,MATCH("PAN",'AS030'!R6:R12,0)),"")</f>
        <v>30</v>
      </c>
      <c r="H28" s="51">
        <f>IFERROR(INDEX('AS030'!S6:S12,MATCH("Cu",'AS030'!R6:R12,0)),"")</f>
        <v>1000</v>
      </c>
      <c r="I28" s="51">
        <f>IFERROR(INDEX('AS030'!S6:S12,MATCH("EDTA",'AS030'!R6:R12,0)),"")</f>
        <v>0</v>
      </c>
      <c r="J28" s="51" t="str">
        <f>IFERROR(INDEX('AS030'!S6:S12,MATCH("Ca",'AS030'!R6:R12,0)),"")</f>
        <v/>
      </c>
      <c r="K28" s="51" t="str">
        <f>IFERROR(INDEX('AS030'!S6:S12,MATCH("BRB",'AS030'!R6:R12,0)),"")</f>
        <v/>
      </c>
      <c r="L28" s="51">
        <f>IFERROR(INDEX('AS030'!S6:S12,MATCH("H2*",'AS030'!R6:R12,0)),"")</f>
        <v>425</v>
      </c>
      <c r="M28" s="51">
        <f>SUM('AS030'!S6:S12)</f>
        <v>3355</v>
      </c>
      <c r="N28" s="47"/>
    </row>
    <row r="29" spans="1:14">
      <c r="A29" t="s">
        <v>55</v>
      </c>
      <c r="B29" t="s">
        <v>75</v>
      </c>
      <c r="C29" s="52" t="str">
        <f>_xlfn.TEXTJOIN(" &gt; ",TRUE,'AS031'!B6:B12)</f>
        <v>PEG &gt; NP &gt; Mg &gt; PAN &gt; EDTA &gt; Cu &gt; H2O</v>
      </c>
      <c r="D29" s="51">
        <f>IFERROR(INDEX('AS031'!C6:C12,MATCH("PEG",'AS031'!B6:B12,0)),"")</f>
        <v>750</v>
      </c>
      <c r="E29" s="51">
        <f>IFERROR(INDEX('AS031'!C6:C12,MATCH("NP",'AS031'!B6:B12,0)),"")</f>
        <v>750</v>
      </c>
      <c r="F29" s="51">
        <f>IFERROR(INDEX('AS031'!C6:C12,MATCH("Mg",'AS031'!B6:B12,0)),"")</f>
        <v>400</v>
      </c>
      <c r="G29" s="51" t="str">
        <f>IFERROR(INDEX('AS031'!C6:C12,MATCH("PAN",'AS031'!B6:B12,0)),"")</f>
        <v>à vérifier</v>
      </c>
      <c r="H29" s="51">
        <f>IFERROR(INDEX('AS031'!C6:C12,MATCH("Cu",'AS031'!B6:B12,0)),"")</f>
        <v>1000</v>
      </c>
      <c r="I29" s="51">
        <f>IFERROR(INDEX('AS031'!C6:C12,MATCH("EDTA",'AS031'!B6:B12,0)),"")</f>
        <v>0</v>
      </c>
      <c r="J29" s="51" t="str">
        <f>IFERROR(INDEX('AS031'!C6:C12,MATCH("Ca",'AS031'!B6:B12,0)),"")</f>
        <v/>
      </c>
      <c r="K29" s="51" t="str">
        <f>IFERROR(INDEX('AS031'!C6:C12,MATCH("BRB",'AS031'!B6:B12,0)),"")</f>
        <v/>
      </c>
      <c r="L29" s="51">
        <f>IFERROR(INDEX('AS031'!C6:C12,MATCH("H2*",'AS031'!B6:B12,0)),"")</f>
        <v>500</v>
      </c>
      <c r="M29" s="51">
        <f>SUM('AS031'!C6:C12)</f>
        <v>3400</v>
      </c>
      <c r="N29" s="47"/>
    </row>
    <row r="30" spans="1:14">
      <c r="A30" t="s">
        <v>56</v>
      </c>
      <c r="B30" t="s">
        <v>75</v>
      </c>
      <c r="C30" s="52" t="str">
        <f>_xlfn.TEXTJOIN(" &gt; ",TRUE,'AS031'!F6:F12)</f>
        <v>PEG &gt; NP &gt; Mg &gt; PAN &gt; EDTA &gt; Cu &gt; H2O</v>
      </c>
      <c r="D30" s="51">
        <f>IFERROR(INDEX('AS031'!G6:G12,MATCH("PEG",'AS031'!F6:F12,0)),"")</f>
        <v>750</v>
      </c>
      <c r="E30" s="51">
        <f>IFERROR(INDEX('AS031'!G6:G12,MATCH("NP",'AS031'!F6:F12,0)),"")</f>
        <v>750</v>
      </c>
      <c r="F30" s="51">
        <f>IFERROR(INDEX('AS031'!G6:G12,MATCH("Mg",'AS031'!F6:F12,0)),"")</f>
        <v>400</v>
      </c>
      <c r="G30" s="51" t="str">
        <f>IFERROR(INDEX('AS031'!G6:G12,MATCH("PAN",'AS031'!F6:F12,0)),"")</f>
        <v>à vérifier</v>
      </c>
      <c r="H30" s="51">
        <f>IFERROR(INDEX('AS031'!G6:G12,MATCH("Cu",'AS031'!F6:F12,0)),"")</f>
        <v>1000</v>
      </c>
      <c r="I30" s="51">
        <f>IFERROR(INDEX('AS031'!G6:G12,MATCH("EDTA",'AS031'!F6:F12,0)),"")</f>
        <v>25</v>
      </c>
      <c r="J30" s="51" t="str">
        <f>IFERROR(INDEX('AS031'!G6:G12,MATCH("Ca",'AS031'!F6:F12,0)),"")</f>
        <v/>
      </c>
      <c r="K30" s="51" t="str">
        <f>IFERROR(INDEX('AS031'!G6:G12,MATCH("BRB",'AS031'!F6:F12,0)),"")</f>
        <v/>
      </c>
      <c r="L30" s="51">
        <f>IFERROR(INDEX('AS031'!G6:G12,MATCH("H2*",'AS031'!F6:F12,0)),"")</f>
        <v>475</v>
      </c>
      <c r="M30" s="51">
        <f>SUM('AS031'!G6:G12)</f>
        <v>3400</v>
      </c>
      <c r="N30" s="47"/>
    </row>
    <row r="31" spans="1:14">
      <c r="A31" t="s">
        <v>57</v>
      </c>
      <c r="B31" t="s">
        <v>75</v>
      </c>
      <c r="C31" s="52" t="str">
        <f>_xlfn.TEXTJOIN(" &gt; ",TRUE,'AS031'!J6:J12)</f>
        <v>PEG &gt; NP &gt; Mg &gt; PAN &gt; EDTA &gt; Cu &gt; H2O</v>
      </c>
      <c r="D31" s="51">
        <f>IFERROR(INDEX('AS031'!K6:K12,MATCH("PEG",'AS031'!J6:J12,0)),"")</f>
        <v>750</v>
      </c>
      <c r="E31" s="51">
        <f>IFERROR(INDEX('AS031'!K6:K12,MATCH("NP",'AS031'!J6:J12,0)),"")</f>
        <v>750</v>
      </c>
      <c r="F31" s="51">
        <f>IFERROR(INDEX('AS031'!K6:K12,MATCH("Mg",'AS031'!J6:J12,0)),"")</f>
        <v>400</v>
      </c>
      <c r="G31" s="51" t="str">
        <f>IFERROR(INDEX('AS031'!K6:K12,MATCH("PAN",'AS031'!J6:J12,0)),"")</f>
        <v>à vérifier</v>
      </c>
      <c r="H31" s="51">
        <f>IFERROR(INDEX('AS031'!K6:K12,MATCH("Cu",'AS031'!J6:J12,0)),"")</f>
        <v>1000</v>
      </c>
      <c r="I31" s="51">
        <f>IFERROR(INDEX('AS031'!K6:K12,MATCH("EDTA",'AS031'!J6:J12,0)),"")</f>
        <v>50</v>
      </c>
      <c r="J31" s="51" t="str">
        <f>IFERROR(INDEX('AS031'!K6:K12,MATCH("Ca",'AS031'!J6:J12,0)),"")</f>
        <v/>
      </c>
      <c r="K31" s="51" t="str">
        <f>IFERROR(INDEX('AS031'!K6:K12,MATCH("BRB",'AS031'!J6:J12,0)),"")</f>
        <v/>
      </c>
      <c r="L31" s="51">
        <f>IFERROR(INDEX('AS031'!K6:K12,MATCH("H2*",'AS031'!J6:J12,0)),"")</f>
        <v>450</v>
      </c>
      <c r="M31" s="51">
        <f>SUM('AS031'!K6:K12)</f>
        <v>3400</v>
      </c>
      <c r="N31" s="47"/>
    </row>
    <row r="32" spans="1:14">
      <c r="A32" t="s">
        <v>58</v>
      </c>
      <c r="B32" t="s">
        <v>75</v>
      </c>
      <c r="C32" s="52" t="str">
        <f>_xlfn.TEXTJOIN(" &gt; ",TRUE,'AS031'!N6:N12)</f>
        <v>PEG &gt; NP &gt; Mg &gt; PAN &gt; EDTA &gt; Cu &gt; H2O</v>
      </c>
      <c r="D32" s="51">
        <f>IFERROR(INDEX('AS031'!O6:O12,MATCH("PEG",'AS031'!N6:N12,0)),"")</f>
        <v>750</v>
      </c>
      <c r="E32" s="51">
        <f>IFERROR(INDEX('AS031'!O6:O12,MATCH("NP",'AS031'!N6:N12,0)),"")</f>
        <v>750</v>
      </c>
      <c r="F32" s="51">
        <f>IFERROR(INDEX('AS031'!O6:O12,MATCH("Mg",'AS031'!N6:N12,0)),"")</f>
        <v>400</v>
      </c>
      <c r="G32" s="51" t="str">
        <f>IFERROR(INDEX('AS031'!O6:O12,MATCH("PAN",'AS031'!N6:N12,0)),"")</f>
        <v>à vérifier</v>
      </c>
      <c r="H32" s="51">
        <f>IFERROR(INDEX('AS031'!O6:O12,MATCH("Cu",'AS031'!N6:N12,0)),"")</f>
        <v>1000</v>
      </c>
      <c r="I32" s="51">
        <f>IFERROR(INDEX('AS031'!O6:O12,MATCH("EDTA",'AS031'!N6:N12,0)),"")</f>
        <v>75</v>
      </c>
      <c r="J32" s="51" t="str">
        <f>IFERROR(INDEX('AS031'!O6:O12,MATCH("Ca",'AS031'!N6:N12,0)),"")</f>
        <v/>
      </c>
      <c r="K32" s="51" t="str">
        <f>IFERROR(INDEX('AS031'!O6:O12,MATCH("BRB",'AS031'!N6:N12,0)),"")</f>
        <v/>
      </c>
      <c r="L32" s="51">
        <f>IFERROR(INDEX('AS031'!O6:O12,MATCH("H2*",'AS031'!N6:N12,0)),"")</f>
        <v>425</v>
      </c>
      <c r="M32" s="51">
        <f>SUM('AS031'!O6:O12)</f>
        <v>3400</v>
      </c>
      <c r="N32" s="47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workbookViewId="0">
      <selection activeCell="F25" sqref="F25"/>
    </sheetView>
  </sheetViews>
  <sheetFormatPr baseColWidth="10" defaultColWidth="8.83203125" defaultRowHeight="14"/>
  <cols>
    <col min="1" max="1" width="6.33203125" customWidth="1"/>
    <col min="2" max="2" width="10.6640625" customWidth="1"/>
    <col min="3" max="3" width="13" customWidth="1"/>
    <col min="4" max="4" width="2.6640625" customWidth="1"/>
    <col min="5" max="5" width="6.33203125" customWidth="1"/>
    <col min="6" max="6" width="10.6640625" customWidth="1"/>
    <col min="7" max="7" width="13" customWidth="1"/>
    <col min="8" max="8" width="2.6640625" customWidth="1"/>
    <col min="9" max="9" width="6.33203125" customWidth="1"/>
    <col min="10" max="10" width="10.6640625" customWidth="1"/>
    <col min="11" max="11" width="13" customWidth="1"/>
    <col min="12" max="12" width="2.6640625" customWidth="1"/>
    <col min="13" max="13" width="6.33203125" customWidth="1"/>
    <col min="14" max="14" width="10.6640625" customWidth="1"/>
    <col min="15" max="15" width="13" customWidth="1"/>
    <col min="16" max="16" width="2.6640625" customWidth="1"/>
    <col min="17" max="17" width="6.33203125" customWidth="1"/>
    <col min="18" max="18" width="10.6640625" customWidth="1"/>
    <col min="19" max="19" width="13" customWidth="1"/>
    <col min="20" max="20" width="2.6640625" customWidth="1"/>
    <col min="21" max="21" width="6.33203125" customWidth="1"/>
    <col min="22" max="22" width="10.6640625" customWidth="1"/>
    <col min="23" max="23" width="13" customWidth="1"/>
    <col min="24" max="24" width="2.6640625" customWidth="1"/>
  </cols>
  <sheetData>
    <row r="1" spans="1:23" ht="32" customHeight="1">
      <c r="A1" s="8" t="s">
        <v>77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3" ht="26.75" customHeight="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23" ht="15" thickBot="1"/>
    <row r="4" spans="1:23" ht="26.75" customHeight="1">
      <c r="A4" s="13" t="s">
        <v>16</v>
      </c>
      <c r="B4" s="14"/>
      <c r="C4" s="15"/>
      <c r="E4" s="13" t="s">
        <v>17</v>
      </c>
      <c r="F4" s="14"/>
      <c r="G4" s="15"/>
      <c r="I4" s="13" t="s">
        <v>18</v>
      </c>
      <c r="J4" s="14"/>
      <c r="K4" s="15"/>
      <c r="M4" s="13" t="s">
        <v>19</v>
      </c>
      <c r="N4" s="14"/>
      <c r="O4" s="15"/>
      <c r="Q4" s="54" t="s">
        <v>20</v>
      </c>
      <c r="R4" s="55"/>
      <c r="S4" s="56"/>
      <c r="U4" s="54" t="s">
        <v>21</v>
      </c>
      <c r="V4" s="55"/>
      <c r="W4" s="56"/>
    </row>
    <row r="5" spans="1:23" ht="16">
      <c r="A5" s="16" t="s">
        <v>1</v>
      </c>
      <c r="B5" s="17" t="s">
        <v>2</v>
      </c>
      <c r="C5" s="18" t="s">
        <v>3</v>
      </c>
      <c r="E5" s="16" t="s">
        <v>1</v>
      </c>
      <c r="F5" s="17" t="s">
        <v>2</v>
      </c>
      <c r="G5" s="18" t="s">
        <v>3</v>
      </c>
      <c r="I5" s="16" t="s">
        <v>1</v>
      </c>
      <c r="J5" s="17" t="s">
        <v>2</v>
      </c>
      <c r="K5" s="18" t="s">
        <v>3</v>
      </c>
      <c r="M5" s="16" t="s">
        <v>1</v>
      </c>
      <c r="N5" s="17" t="s">
        <v>2</v>
      </c>
      <c r="O5" s="18" t="s">
        <v>3</v>
      </c>
      <c r="Q5" s="57" t="s">
        <v>1</v>
      </c>
      <c r="R5" s="58" t="s">
        <v>2</v>
      </c>
      <c r="S5" s="59" t="s">
        <v>3</v>
      </c>
      <c r="U5" s="57" t="s">
        <v>1</v>
      </c>
      <c r="V5" s="58" t="s">
        <v>2</v>
      </c>
      <c r="W5" s="59" t="s">
        <v>3</v>
      </c>
    </row>
    <row r="6" spans="1:23" ht="15">
      <c r="A6" s="27">
        <v>1</v>
      </c>
      <c r="B6" s="28" t="s">
        <v>4</v>
      </c>
      <c r="C6" s="29">
        <v>750</v>
      </c>
      <c r="E6" s="21">
        <v>1</v>
      </c>
      <c r="F6" s="22" t="s">
        <v>4</v>
      </c>
      <c r="G6" s="23">
        <v>750</v>
      </c>
      <c r="I6" s="21">
        <v>1</v>
      </c>
      <c r="J6" s="22" t="s">
        <v>4</v>
      </c>
      <c r="K6" s="23">
        <v>750</v>
      </c>
      <c r="M6" s="21">
        <v>1</v>
      </c>
      <c r="N6" s="22" t="s">
        <v>4</v>
      </c>
      <c r="O6" s="23">
        <v>750</v>
      </c>
      <c r="Q6" s="62">
        <v>1</v>
      </c>
      <c r="R6" s="63" t="s">
        <v>4</v>
      </c>
      <c r="S6" s="64">
        <v>750</v>
      </c>
      <c r="U6" s="62">
        <v>1</v>
      </c>
      <c r="V6" s="63" t="s">
        <v>4</v>
      </c>
      <c r="W6" s="64">
        <v>750</v>
      </c>
    </row>
    <row r="7" spans="1:23" ht="15">
      <c r="A7" s="27">
        <v>2</v>
      </c>
      <c r="B7" s="28" t="s">
        <v>6</v>
      </c>
      <c r="C7" s="29">
        <v>750</v>
      </c>
      <c r="E7" s="21">
        <v>2</v>
      </c>
      <c r="F7" s="22" t="s">
        <v>6</v>
      </c>
      <c r="G7" s="23">
        <v>750</v>
      </c>
      <c r="I7" s="21">
        <v>2</v>
      </c>
      <c r="J7" s="22" t="s">
        <v>6</v>
      </c>
      <c r="K7" s="23">
        <v>750</v>
      </c>
      <c r="M7" s="21">
        <v>2</v>
      </c>
      <c r="N7" s="22" t="s">
        <v>6</v>
      </c>
      <c r="O7" s="23">
        <v>750</v>
      </c>
      <c r="Q7" s="62">
        <v>2</v>
      </c>
      <c r="R7" s="63" t="s">
        <v>6</v>
      </c>
      <c r="S7" s="64">
        <v>750</v>
      </c>
      <c r="U7" s="62">
        <v>2</v>
      </c>
      <c r="V7" s="63" t="s">
        <v>6</v>
      </c>
      <c r="W7" s="64">
        <v>750</v>
      </c>
    </row>
    <row r="8" spans="1:23" ht="15">
      <c r="A8" s="27">
        <v>3</v>
      </c>
      <c r="B8" s="28" t="s">
        <v>7</v>
      </c>
      <c r="C8" s="29">
        <v>208</v>
      </c>
      <c r="E8" s="21">
        <v>3</v>
      </c>
      <c r="F8" s="22" t="s">
        <v>7</v>
      </c>
      <c r="G8" s="33">
        <v>416</v>
      </c>
      <c r="I8" s="21">
        <v>3</v>
      </c>
      <c r="J8" s="22" t="s">
        <v>7</v>
      </c>
      <c r="K8" s="23">
        <v>208</v>
      </c>
      <c r="M8" s="21">
        <v>3</v>
      </c>
      <c r="N8" s="22" t="s">
        <v>7</v>
      </c>
      <c r="O8" s="33">
        <v>416</v>
      </c>
      <c r="Q8" s="62">
        <v>3</v>
      </c>
      <c r="R8" s="60" t="s">
        <v>8</v>
      </c>
      <c r="S8" s="61">
        <v>30</v>
      </c>
      <c r="U8" s="62">
        <v>3</v>
      </c>
      <c r="V8" s="63" t="s">
        <v>7</v>
      </c>
      <c r="W8" s="64">
        <v>208</v>
      </c>
    </row>
    <row r="9" spans="1:23" ht="15">
      <c r="A9" s="27">
        <v>4</v>
      </c>
      <c r="B9" s="28" t="s">
        <v>8</v>
      </c>
      <c r="C9" s="29">
        <v>30</v>
      </c>
      <c r="E9" s="21">
        <v>4</v>
      </c>
      <c r="F9" s="22" t="s">
        <v>8</v>
      </c>
      <c r="G9" s="23">
        <v>30</v>
      </c>
      <c r="I9" s="21">
        <v>4</v>
      </c>
      <c r="J9" s="22" t="s">
        <v>8</v>
      </c>
      <c r="K9" s="23">
        <v>30</v>
      </c>
      <c r="M9" s="21">
        <v>4</v>
      </c>
      <c r="N9" s="22" t="s">
        <v>8</v>
      </c>
      <c r="O9" s="23">
        <v>30</v>
      </c>
      <c r="Q9" s="62">
        <v>4</v>
      </c>
      <c r="R9" s="60" t="s">
        <v>7</v>
      </c>
      <c r="S9" s="61">
        <v>208</v>
      </c>
      <c r="U9" s="62">
        <v>4</v>
      </c>
      <c r="V9" s="63" t="s">
        <v>8</v>
      </c>
      <c r="W9" s="64">
        <v>30</v>
      </c>
    </row>
    <row r="10" spans="1:23" ht="16" thickBot="1">
      <c r="A10" s="30">
        <v>5</v>
      </c>
      <c r="B10" s="31" t="s">
        <v>5</v>
      </c>
      <c r="C10" s="32">
        <v>1500</v>
      </c>
      <c r="E10" s="21">
        <v>5</v>
      </c>
      <c r="F10" s="34" t="s">
        <v>10</v>
      </c>
      <c r="G10" s="33">
        <v>1000</v>
      </c>
      <c r="I10" s="24">
        <v>5</v>
      </c>
      <c r="J10" s="25" t="s">
        <v>5</v>
      </c>
      <c r="K10" s="26">
        <v>1500</v>
      </c>
      <c r="M10" s="21">
        <v>5</v>
      </c>
      <c r="N10" s="34" t="s">
        <v>10</v>
      </c>
      <c r="O10" s="33">
        <v>1000</v>
      </c>
      <c r="Q10" s="65">
        <v>5</v>
      </c>
      <c r="R10" s="66" t="s">
        <v>5</v>
      </c>
      <c r="S10" s="67">
        <v>1500</v>
      </c>
      <c r="U10" s="65">
        <v>5</v>
      </c>
      <c r="V10" s="66" t="s">
        <v>5</v>
      </c>
      <c r="W10" s="67">
        <v>1500</v>
      </c>
    </row>
    <row r="11" spans="1:23" ht="16" thickBot="1">
      <c r="A11" s="1"/>
      <c r="B11" s="2"/>
      <c r="C11" s="3"/>
      <c r="E11" s="24">
        <v>6</v>
      </c>
      <c r="F11" s="35" t="s">
        <v>13</v>
      </c>
      <c r="G11" s="36">
        <v>500</v>
      </c>
      <c r="I11" s="1"/>
      <c r="J11" s="2"/>
      <c r="K11" s="3"/>
      <c r="M11" s="24">
        <v>6</v>
      </c>
      <c r="N11" s="35" t="s">
        <v>13</v>
      </c>
      <c r="O11" s="36">
        <v>500</v>
      </c>
    </row>
    <row r="12" spans="1:23" ht="32">
      <c r="A12" s="6" t="s">
        <v>15</v>
      </c>
      <c r="B12" s="2"/>
      <c r="C12" s="3"/>
      <c r="E12" s="1"/>
      <c r="F12" s="2"/>
      <c r="G12" s="3"/>
      <c r="I12" s="1"/>
      <c r="J12" s="2"/>
      <c r="K12" s="3"/>
    </row>
    <row r="13" spans="1:23" ht="30">
      <c r="A13" s="38"/>
      <c r="B13" s="42" t="s">
        <v>22</v>
      </c>
      <c r="C13" s="4"/>
      <c r="G13" s="4"/>
      <c r="K13" s="4"/>
    </row>
    <row r="14" spans="1:23">
      <c r="A14" s="39"/>
      <c r="B14" s="37" t="s">
        <v>23</v>
      </c>
      <c r="C14" s="4"/>
      <c r="G14" s="4"/>
      <c r="K14" s="4"/>
    </row>
    <row r="15" spans="1:23" ht="26.75" customHeight="1">
      <c r="A15" s="40"/>
      <c r="B15" s="37" t="s">
        <v>24</v>
      </c>
    </row>
  </sheetData>
  <mergeCells count="6">
    <mergeCell ref="M4:O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sqref="A1:K1"/>
    </sheetView>
  </sheetViews>
  <sheetFormatPr baseColWidth="10" defaultColWidth="8.83203125" defaultRowHeight="14"/>
  <cols>
    <col min="1" max="1" width="6.33203125" customWidth="1"/>
    <col min="2" max="2" width="10.6640625" customWidth="1"/>
    <col min="3" max="3" width="13" customWidth="1"/>
    <col min="4" max="4" width="2.6640625" customWidth="1"/>
    <col min="5" max="5" width="6.33203125" customWidth="1"/>
    <col min="6" max="6" width="10.6640625" customWidth="1"/>
    <col min="7" max="7" width="13" customWidth="1"/>
    <col min="8" max="8" width="2.6640625" customWidth="1"/>
    <col min="9" max="9" width="6.33203125" customWidth="1"/>
    <col min="10" max="10" width="10.6640625" customWidth="1"/>
    <col min="11" max="11" width="13" customWidth="1"/>
    <col min="12" max="12" width="2.6640625" customWidth="1"/>
    <col min="13" max="13" width="6.33203125" customWidth="1"/>
    <col min="14" max="14" width="10.6640625" customWidth="1"/>
    <col min="15" max="15" width="13" customWidth="1"/>
    <col min="16" max="16" width="2.6640625" customWidth="1"/>
    <col min="17" max="17" width="6.33203125" customWidth="1"/>
    <col min="18" max="18" width="10.6640625" customWidth="1"/>
    <col min="19" max="19" width="13" customWidth="1"/>
    <col min="20" max="20" width="2.6640625" customWidth="1"/>
  </cols>
  <sheetData>
    <row r="1" spans="1:19" ht="32" customHeight="1">
      <c r="A1" s="8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26.75" customHeight="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9" ht="15" thickBot="1"/>
    <row r="4" spans="1:19" ht="26.75" customHeight="1">
      <c r="A4" s="13" t="s">
        <v>25</v>
      </c>
      <c r="B4" s="14"/>
      <c r="C4" s="15"/>
      <c r="E4" s="13" t="s">
        <v>26</v>
      </c>
      <c r="F4" s="14"/>
      <c r="G4" s="15"/>
      <c r="I4" s="13" t="s">
        <v>27</v>
      </c>
      <c r="J4" s="14"/>
      <c r="K4" s="15"/>
      <c r="M4" s="13" t="s">
        <v>28</v>
      </c>
      <c r="N4" s="14"/>
      <c r="O4" s="20"/>
      <c r="Q4" s="13" t="s">
        <v>29</v>
      </c>
      <c r="R4" s="14"/>
      <c r="S4" s="20"/>
    </row>
    <row r="5" spans="1:19" ht="32">
      <c r="A5" s="16" t="s">
        <v>1</v>
      </c>
      <c r="B5" s="17" t="s">
        <v>2</v>
      </c>
      <c r="C5" s="18" t="s">
        <v>3</v>
      </c>
      <c r="E5" s="16" t="s">
        <v>1</v>
      </c>
      <c r="F5" s="17" t="s">
        <v>2</v>
      </c>
      <c r="G5" s="18" t="s">
        <v>3</v>
      </c>
      <c r="I5" s="16" t="s">
        <v>1</v>
      </c>
      <c r="J5" s="17" t="s">
        <v>2</v>
      </c>
      <c r="K5" s="18" t="s">
        <v>3</v>
      </c>
      <c r="M5" s="16" t="s">
        <v>1</v>
      </c>
      <c r="N5" s="17" t="s">
        <v>2</v>
      </c>
      <c r="O5" s="19" t="s">
        <v>3</v>
      </c>
      <c r="Q5" s="16" t="s">
        <v>1</v>
      </c>
      <c r="R5" s="17" t="s">
        <v>2</v>
      </c>
      <c r="S5" s="19" t="s">
        <v>3</v>
      </c>
    </row>
    <row r="6" spans="1:19" ht="15">
      <c r="A6" s="27">
        <v>1</v>
      </c>
      <c r="B6" s="28" t="s">
        <v>10</v>
      </c>
      <c r="C6" s="29">
        <v>1000</v>
      </c>
      <c r="E6" s="21">
        <v>1</v>
      </c>
      <c r="F6" s="34" t="s">
        <v>6</v>
      </c>
      <c r="G6" s="33">
        <v>750</v>
      </c>
      <c r="I6" s="21">
        <v>1</v>
      </c>
      <c r="J6" s="34" t="s">
        <v>5</v>
      </c>
      <c r="K6" s="23">
        <v>1000</v>
      </c>
      <c r="M6" s="21">
        <v>1</v>
      </c>
      <c r="N6" s="22" t="s">
        <v>10</v>
      </c>
      <c r="O6" s="23">
        <v>1000</v>
      </c>
      <c r="Q6" s="21">
        <v>1</v>
      </c>
      <c r="R6" s="22" t="s">
        <v>10</v>
      </c>
      <c r="S6" s="23">
        <v>1000</v>
      </c>
    </row>
    <row r="7" spans="1:19" ht="15">
      <c r="A7" s="27">
        <v>2</v>
      </c>
      <c r="B7" s="28" t="s">
        <v>6</v>
      </c>
      <c r="C7" s="29">
        <v>750</v>
      </c>
      <c r="E7" s="21">
        <v>2</v>
      </c>
      <c r="F7" s="34" t="s">
        <v>4</v>
      </c>
      <c r="G7" s="23">
        <v>750</v>
      </c>
      <c r="I7" s="21">
        <v>2</v>
      </c>
      <c r="J7" s="22" t="s">
        <v>6</v>
      </c>
      <c r="K7" s="23">
        <v>750</v>
      </c>
      <c r="M7" s="21">
        <v>2</v>
      </c>
      <c r="N7" s="22" t="s">
        <v>6</v>
      </c>
      <c r="O7" s="23">
        <v>750</v>
      </c>
      <c r="Q7" s="21">
        <v>2</v>
      </c>
      <c r="R7" s="22" t="s">
        <v>6</v>
      </c>
      <c r="S7" s="23">
        <v>750</v>
      </c>
    </row>
    <row r="8" spans="1:19" ht="15">
      <c r="A8" s="27">
        <v>3</v>
      </c>
      <c r="B8" s="28" t="s">
        <v>4</v>
      </c>
      <c r="C8" s="29">
        <v>750</v>
      </c>
      <c r="E8" s="21">
        <v>3</v>
      </c>
      <c r="F8" s="34" t="s">
        <v>14</v>
      </c>
      <c r="G8" s="33">
        <v>200</v>
      </c>
      <c r="I8" s="21">
        <v>3</v>
      </c>
      <c r="J8" s="22" t="s">
        <v>4</v>
      </c>
      <c r="K8" s="23">
        <v>750</v>
      </c>
      <c r="M8" s="21">
        <v>3</v>
      </c>
      <c r="N8" s="22" t="s">
        <v>4</v>
      </c>
      <c r="O8" s="23">
        <v>750</v>
      </c>
      <c r="Q8" s="21">
        <v>3</v>
      </c>
      <c r="R8" s="22" t="s">
        <v>4</v>
      </c>
      <c r="S8" s="23">
        <v>750</v>
      </c>
    </row>
    <row r="9" spans="1:19" ht="15">
      <c r="A9" s="27">
        <v>4</v>
      </c>
      <c r="B9" s="28" t="s">
        <v>7</v>
      </c>
      <c r="C9" s="29">
        <v>200</v>
      </c>
      <c r="E9" s="21">
        <v>4</v>
      </c>
      <c r="F9" s="34" t="s">
        <v>8</v>
      </c>
      <c r="G9" s="33">
        <v>30</v>
      </c>
      <c r="I9" s="21"/>
      <c r="J9" s="22" t="s">
        <v>7</v>
      </c>
      <c r="K9" s="33">
        <v>400</v>
      </c>
      <c r="M9" s="21">
        <v>4</v>
      </c>
      <c r="N9" s="22" t="s">
        <v>7</v>
      </c>
      <c r="O9" s="23">
        <v>200</v>
      </c>
      <c r="Q9" s="21">
        <v>4</v>
      </c>
      <c r="R9" s="34" t="s">
        <v>14</v>
      </c>
      <c r="S9" s="23">
        <v>200</v>
      </c>
    </row>
    <row r="10" spans="1:19" ht="16" thickBot="1">
      <c r="A10" s="27">
        <v>5</v>
      </c>
      <c r="B10" s="28" t="s">
        <v>8</v>
      </c>
      <c r="C10" s="29">
        <v>30</v>
      </c>
      <c r="E10" s="24">
        <v>5</v>
      </c>
      <c r="F10" s="35" t="s">
        <v>5</v>
      </c>
      <c r="G10" s="36">
        <v>500</v>
      </c>
      <c r="I10" s="24"/>
      <c r="J10" s="35" t="s">
        <v>5</v>
      </c>
      <c r="K10" s="36">
        <v>500</v>
      </c>
      <c r="M10" s="21">
        <v>5</v>
      </c>
      <c r="N10" s="22" t="s">
        <v>8</v>
      </c>
      <c r="O10" s="23">
        <v>30</v>
      </c>
      <c r="Q10" s="21">
        <v>5</v>
      </c>
      <c r="R10" s="22" t="s">
        <v>8</v>
      </c>
      <c r="S10" s="23">
        <v>30</v>
      </c>
    </row>
    <row r="11" spans="1:19" ht="16" thickBot="1">
      <c r="A11" s="30">
        <v>6</v>
      </c>
      <c r="B11" s="31" t="s">
        <v>5</v>
      </c>
      <c r="C11" s="32">
        <v>500</v>
      </c>
      <c r="E11" s="1"/>
      <c r="F11" s="2"/>
      <c r="G11" s="3"/>
      <c r="I11" s="1"/>
      <c r="J11" s="2"/>
      <c r="K11" s="3"/>
      <c r="M11" s="24">
        <v>6</v>
      </c>
      <c r="N11" s="25" t="s">
        <v>5</v>
      </c>
      <c r="O11" s="26">
        <v>500</v>
      </c>
      <c r="Q11" s="24">
        <v>6</v>
      </c>
      <c r="R11" s="25" t="s">
        <v>5</v>
      </c>
      <c r="S11" s="26">
        <v>500</v>
      </c>
    </row>
    <row r="12" spans="1:19">
      <c r="A12" s="1"/>
      <c r="B12" s="2"/>
      <c r="C12" s="3"/>
      <c r="E12" s="1"/>
      <c r="F12" s="2"/>
      <c r="G12" s="3"/>
      <c r="I12" s="1"/>
      <c r="J12" s="2"/>
      <c r="K12" s="3"/>
    </row>
    <row r="13" spans="1:19" ht="15">
      <c r="A13" s="41" t="s">
        <v>15</v>
      </c>
      <c r="C13" s="4"/>
      <c r="G13" s="4"/>
      <c r="K13" s="4"/>
    </row>
    <row r="14" spans="1:19" ht="30">
      <c r="A14" s="38"/>
      <c r="B14" s="42" t="s">
        <v>30</v>
      </c>
      <c r="C14" s="4"/>
      <c r="G14" s="4"/>
      <c r="K14" s="4"/>
    </row>
    <row r="15" spans="1:19" ht="26.75" customHeight="1">
      <c r="A15" s="39"/>
      <c r="B15" s="37" t="s">
        <v>31</v>
      </c>
      <c r="E15" s="11"/>
      <c r="F15" s="11"/>
      <c r="G15" s="12"/>
      <c r="K15" s="4"/>
    </row>
    <row r="16" spans="1:19" ht="15">
      <c r="A16" s="40"/>
      <c r="B16" s="37" t="s">
        <v>32</v>
      </c>
      <c r="E16" s="6"/>
      <c r="F16" s="6"/>
      <c r="G16" s="7"/>
      <c r="K16" s="5"/>
    </row>
    <row r="17" spans="1:11">
      <c r="E17" s="1"/>
      <c r="F17" s="2"/>
      <c r="G17" s="3"/>
      <c r="K17" s="4"/>
    </row>
    <row r="18" spans="1:11">
      <c r="E18" s="1"/>
      <c r="F18" s="2"/>
      <c r="G18" s="3"/>
      <c r="K18" s="4"/>
    </row>
    <row r="19" spans="1:11">
      <c r="E19" s="1"/>
      <c r="F19" s="2"/>
      <c r="G19" s="3"/>
      <c r="K19" s="4"/>
    </row>
    <row r="20" spans="1:11">
      <c r="E20" s="1"/>
      <c r="F20" s="2"/>
      <c r="G20" s="3"/>
      <c r="K20" s="4"/>
    </row>
    <row r="21" spans="1:11">
      <c r="E21" s="1"/>
      <c r="F21" s="2"/>
      <c r="G21" s="3"/>
      <c r="K21" s="4"/>
    </row>
    <row r="22" spans="1:11">
      <c r="E22" s="1"/>
      <c r="F22" s="2"/>
      <c r="G22" s="3"/>
      <c r="K22" s="4"/>
    </row>
    <row r="23" spans="1:11">
      <c r="A23" s="1"/>
      <c r="B23" s="2"/>
      <c r="C23" s="3"/>
      <c r="E23" s="1"/>
      <c r="F23" s="2"/>
      <c r="G23" s="3"/>
      <c r="K23" s="4"/>
    </row>
    <row r="24" spans="1:11">
      <c r="C24" s="4"/>
      <c r="G24" s="4"/>
      <c r="K24" s="4"/>
    </row>
    <row r="25" spans="1:11">
      <c r="C25" s="4"/>
      <c r="G25" s="4"/>
      <c r="K25" s="4"/>
    </row>
  </sheetData>
  <mergeCells count="8">
    <mergeCell ref="M4:O4"/>
    <mergeCell ref="E15:G15"/>
    <mergeCell ref="Q4:S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A2" sqref="A2:K2"/>
    </sheetView>
  </sheetViews>
  <sheetFormatPr baseColWidth="10" defaultColWidth="8.83203125" defaultRowHeight="14"/>
  <cols>
    <col min="1" max="1" width="6.33203125" customWidth="1"/>
    <col min="2" max="2" width="10.6640625" customWidth="1"/>
    <col min="3" max="3" width="13" customWidth="1"/>
    <col min="4" max="4" width="2.6640625" customWidth="1"/>
    <col min="5" max="5" width="6.33203125" customWidth="1"/>
    <col min="6" max="6" width="10.6640625" customWidth="1"/>
    <col min="7" max="7" width="13" customWidth="1"/>
    <col min="8" max="8" width="2.6640625" customWidth="1"/>
    <col min="9" max="9" width="6.33203125" customWidth="1"/>
    <col min="10" max="10" width="10.6640625" customWidth="1"/>
    <col min="11" max="11" width="13" customWidth="1"/>
    <col min="12" max="12" width="2.6640625" customWidth="1"/>
    <col min="13" max="13" width="6.33203125" customWidth="1"/>
    <col min="14" max="14" width="10.6640625" customWidth="1"/>
    <col min="15" max="15" width="13" customWidth="1"/>
    <col min="16" max="16" width="2.6640625" customWidth="1"/>
    <col min="17" max="17" width="6.33203125" customWidth="1"/>
    <col min="18" max="18" width="10.6640625" customWidth="1"/>
    <col min="19" max="19" width="13" customWidth="1"/>
    <col min="20" max="20" width="2.6640625" customWidth="1"/>
  </cols>
  <sheetData>
    <row r="1" spans="1:19" ht="32" customHeight="1">
      <c r="A1" s="8" t="s">
        <v>76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26.75" customHeight="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9" ht="15" thickBot="1"/>
    <row r="4" spans="1:19" ht="26.75" customHeight="1">
      <c r="A4" s="13" t="s">
        <v>33</v>
      </c>
      <c r="B4" s="14"/>
      <c r="C4" s="15"/>
      <c r="E4" s="13" t="s">
        <v>34</v>
      </c>
      <c r="F4" s="14"/>
      <c r="G4" s="15"/>
      <c r="I4" s="13" t="s">
        <v>35</v>
      </c>
      <c r="J4" s="14"/>
      <c r="K4" s="15"/>
      <c r="M4" s="13" t="s">
        <v>36</v>
      </c>
      <c r="N4" s="14"/>
      <c r="O4" s="20"/>
      <c r="Q4" s="13" t="s">
        <v>37</v>
      </c>
      <c r="R4" s="14"/>
      <c r="S4" s="20"/>
    </row>
    <row r="5" spans="1:19" ht="32">
      <c r="A5" s="16" t="s">
        <v>1</v>
      </c>
      <c r="B5" s="17" t="s">
        <v>2</v>
      </c>
      <c r="C5" s="18" t="s">
        <v>3</v>
      </c>
      <c r="E5" s="16" t="s">
        <v>1</v>
      </c>
      <c r="F5" s="17" t="s">
        <v>2</v>
      </c>
      <c r="G5" s="18" t="s">
        <v>3</v>
      </c>
      <c r="I5" s="16" t="s">
        <v>1</v>
      </c>
      <c r="J5" s="17" t="s">
        <v>2</v>
      </c>
      <c r="K5" s="18" t="s">
        <v>3</v>
      </c>
      <c r="M5" s="16" t="s">
        <v>1</v>
      </c>
      <c r="N5" s="17" t="s">
        <v>2</v>
      </c>
      <c r="O5" s="19" t="s">
        <v>3</v>
      </c>
      <c r="Q5" s="16" t="s">
        <v>1</v>
      </c>
      <c r="R5" s="17" t="s">
        <v>2</v>
      </c>
      <c r="S5" s="19" t="s">
        <v>3</v>
      </c>
    </row>
    <row r="6" spans="1:19" ht="15">
      <c r="A6" s="27">
        <v>1</v>
      </c>
      <c r="B6" s="28" t="s">
        <v>10</v>
      </c>
      <c r="C6" s="29">
        <v>1000</v>
      </c>
      <c r="E6" s="21">
        <v>1</v>
      </c>
      <c r="F6" s="22" t="s">
        <v>10</v>
      </c>
      <c r="G6" s="23">
        <v>1000</v>
      </c>
      <c r="I6" s="21">
        <v>1</v>
      </c>
      <c r="J6" s="34" t="s">
        <v>5</v>
      </c>
      <c r="K6" s="33">
        <v>500</v>
      </c>
      <c r="M6" s="21">
        <v>1</v>
      </c>
      <c r="N6" s="34" t="s">
        <v>6</v>
      </c>
      <c r="O6" s="33">
        <v>750</v>
      </c>
      <c r="Q6" s="21">
        <v>1</v>
      </c>
      <c r="R6" s="34" t="s">
        <v>6</v>
      </c>
      <c r="S6" s="33">
        <v>750</v>
      </c>
    </row>
    <row r="7" spans="1:19" ht="15">
      <c r="A7" s="27">
        <v>2</v>
      </c>
      <c r="B7" s="28" t="s">
        <v>5</v>
      </c>
      <c r="C7" s="29">
        <v>500</v>
      </c>
      <c r="E7" s="21">
        <v>2</v>
      </c>
      <c r="F7" s="34" t="s">
        <v>6</v>
      </c>
      <c r="G7" s="33">
        <v>750</v>
      </c>
      <c r="I7" s="21">
        <v>2</v>
      </c>
      <c r="J7" s="34" t="s">
        <v>6</v>
      </c>
      <c r="K7" s="33">
        <v>750</v>
      </c>
      <c r="M7" s="21">
        <v>2</v>
      </c>
      <c r="N7" s="34" t="s">
        <v>4</v>
      </c>
      <c r="O7" s="33">
        <v>750</v>
      </c>
      <c r="Q7" s="21">
        <v>2</v>
      </c>
      <c r="R7" s="34" t="s">
        <v>4</v>
      </c>
      <c r="S7" s="33">
        <v>750</v>
      </c>
    </row>
    <row r="8" spans="1:19" ht="15">
      <c r="A8" s="27">
        <v>3</v>
      </c>
      <c r="B8" s="28" t="s">
        <v>6</v>
      </c>
      <c r="C8" s="29">
        <v>750</v>
      </c>
      <c r="E8" s="21">
        <v>3</v>
      </c>
      <c r="F8" s="34" t="s">
        <v>4</v>
      </c>
      <c r="G8" s="23">
        <v>750</v>
      </c>
      <c r="I8" s="21">
        <v>3</v>
      </c>
      <c r="J8" s="34" t="s">
        <v>4</v>
      </c>
      <c r="K8" s="23">
        <v>750</v>
      </c>
      <c r="M8" s="21">
        <v>3</v>
      </c>
      <c r="N8" s="34" t="s">
        <v>7</v>
      </c>
      <c r="O8" s="33">
        <v>400</v>
      </c>
      <c r="Q8" s="21">
        <v>3</v>
      </c>
      <c r="R8" s="34" t="s">
        <v>7</v>
      </c>
      <c r="S8" s="33">
        <v>400</v>
      </c>
    </row>
    <row r="9" spans="1:19" ht="15">
      <c r="A9" s="27">
        <v>4</v>
      </c>
      <c r="B9" s="28" t="s">
        <v>4</v>
      </c>
      <c r="C9" s="29">
        <v>750</v>
      </c>
      <c r="E9" s="21">
        <v>4</v>
      </c>
      <c r="F9" s="34" t="s">
        <v>7</v>
      </c>
      <c r="G9" s="33">
        <v>400</v>
      </c>
      <c r="I9" s="21">
        <v>4</v>
      </c>
      <c r="J9" s="34" t="s">
        <v>7</v>
      </c>
      <c r="K9" s="33">
        <v>400</v>
      </c>
      <c r="M9" s="21">
        <v>4</v>
      </c>
      <c r="N9" s="34" t="s">
        <v>8</v>
      </c>
      <c r="O9" s="33">
        <v>30</v>
      </c>
      <c r="Q9" s="21">
        <v>4</v>
      </c>
      <c r="R9" s="34" t="s">
        <v>8</v>
      </c>
      <c r="S9" s="33">
        <v>30</v>
      </c>
    </row>
    <row r="10" spans="1:19" ht="16" thickBot="1">
      <c r="A10" s="27">
        <v>5</v>
      </c>
      <c r="B10" s="28" t="s">
        <v>7</v>
      </c>
      <c r="C10" s="29">
        <v>400</v>
      </c>
      <c r="E10" s="21">
        <v>5</v>
      </c>
      <c r="F10" s="34" t="s">
        <v>8</v>
      </c>
      <c r="G10" s="33">
        <v>30</v>
      </c>
      <c r="I10" s="24">
        <v>5</v>
      </c>
      <c r="J10" s="35" t="s">
        <v>8</v>
      </c>
      <c r="K10" s="36">
        <v>30</v>
      </c>
      <c r="M10" s="21">
        <v>5</v>
      </c>
      <c r="N10" s="34" t="s">
        <v>10</v>
      </c>
      <c r="O10" s="33">
        <v>1000</v>
      </c>
      <c r="Q10" s="21">
        <v>5</v>
      </c>
      <c r="R10" s="34" t="s">
        <v>5</v>
      </c>
      <c r="S10" s="33">
        <v>500</v>
      </c>
    </row>
    <row r="11" spans="1:19" ht="16" thickBot="1">
      <c r="A11" s="30">
        <v>6</v>
      </c>
      <c r="B11" s="31" t="s">
        <v>8</v>
      </c>
      <c r="C11" s="32">
        <v>30</v>
      </c>
      <c r="E11" s="24">
        <v>6</v>
      </c>
      <c r="F11" s="35" t="s">
        <v>5</v>
      </c>
      <c r="G11" s="36">
        <v>500</v>
      </c>
      <c r="I11" s="1"/>
      <c r="J11" s="2"/>
      <c r="K11" s="3"/>
      <c r="M11" s="24">
        <v>6</v>
      </c>
      <c r="N11" s="35" t="s">
        <v>5</v>
      </c>
      <c r="O11" s="36">
        <v>500</v>
      </c>
      <c r="Q11" s="24">
        <v>6</v>
      </c>
      <c r="R11" s="35" t="s">
        <v>10</v>
      </c>
      <c r="S11" s="36">
        <v>1000</v>
      </c>
    </row>
    <row r="12" spans="1:19">
      <c r="A12" s="1"/>
      <c r="B12" s="2"/>
      <c r="C12" s="3"/>
      <c r="E12" s="1"/>
      <c r="F12" s="2"/>
      <c r="G12" s="3"/>
      <c r="I12" s="1"/>
      <c r="J12" s="2"/>
      <c r="K12" s="3"/>
    </row>
    <row r="13" spans="1:19" ht="15">
      <c r="A13" s="41" t="s">
        <v>15</v>
      </c>
      <c r="C13" s="4"/>
      <c r="G13" s="4"/>
      <c r="K13" s="4"/>
    </row>
    <row r="14" spans="1:19" ht="30">
      <c r="A14" s="38"/>
      <c r="B14" s="42" t="s">
        <v>38</v>
      </c>
      <c r="C14" s="4"/>
      <c r="G14" s="4"/>
      <c r="K14" s="4"/>
    </row>
    <row r="15" spans="1:19" ht="26.75" customHeight="1">
      <c r="A15" s="44"/>
      <c r="B15" s="43"/>
      <c r="C15" s="12"/>
      <c r="E15" s="11"/>
      <c r="F15" s="11"/>
      <c r="G15" s="12"/>
      <c r="K15" s="4"/>
    </row>
    <row r="16" spans="1:19" ht="48">
      <c r="A16" s="45"/>
      <c r="B16" s="46" t="s">
        <v>39</v>
      </c>
      <c r="C16" s="7"/>
      <c r="E16" s="6"/>
      <c r="F16" s="6"/>
      <c r="G16" s="7"/>
      <c r="K16" s="5"/>
    </row>
    <row r="17" spans="1:11">
      <c r="A17" s="1"/>
      <c r="B17" s="2"/>
      <c r="C17" s="3"/>
      <c r="E17" s="1"/>
      <c r="F17" s="2"/>
      <c r="G17" s="3"/>
      <c r="K17" s="4"/>
    </row>
    <row r="18" spans="1:11">
      <c r="A18" s="1"/>
      <c r="B18" s="2"/>
      <c r="C18" s="3"/>
      <c r="E18" s="1"/>
      <c r="F18" s="2"/>
      <c r="G18" s="3"/>
      <c r="K18" s="4"/>
    </row>
    <row r="19" spans="1:11">
      <c r="A19" s="1"/>
      <c r="B19" s="2"/>
      <c r="C19" s="3"/>
      <c r="E19" s="1"/>
      <c r="F19" s="2"/>
      <c r="G19" s="3"/>
      <c r="K19" s="4"/>
    </row>
    <row r="20" spans="1:11">
      <c r="A20" s="1"/>
      <c r="B20" s="2"/>
      <c r="C20" s="3"/>
      <c r="E20" s="1"/>
      <c r="F20" s="2"/>
      <c r="G20" s="3"/>
      <c r="K20" s="4"/>
    </row>
    <row r="21" spans="1:11">
      <c r="A21" s="1"/>
      <c r="B21" s="2"/>
      <c r="C21" s="3"/>
      <c r="E21" s="1"/>
      <c r="F21" s="2"/>
      <c r="G21" s="3"/>
      <c r="K21" s="4"/>
    </row>
    <row r="22" spans="1:11">
      <c r="A22" s="1"/>
      <c r="B22" s="2"/>
      <c r="C22" s="3"/>
      <c r="E22" s="1"/>
      <c r="F22" s="2"/>
      <c r="G22" s="3"/>
      <c r="K22" s="4"/>
    </row>
    <row r="23" spans="1:11">
      <c r="A23" s="1"/>
      <c r="B23" s="2"/>
      <c r="C23" s="3"/>
      <c r="E23" s="1"/>
      <c r="F23" s="2"/>
      <c r="G23" s="3"/>
      <c r="K23" s="4"/>
    </row>
    <row r="24" spans="1:11">
      <c r="C24" s="4"/>
      <c r="G24" s="4"/>
      <c r="K24" s="4"/>
    </row>
    <row r="25" spans="1:11">
      <c r="C25" s="4"/>
      <c r="G25" s="4"/>
      <c r="K25" s="4"/>
    </row>
  </sheetData>
  <mergeCells count="9">
    <mergeCell ref="A15:C15"/>
    <mergeCell ref="E15:G15"/>
    <mergeCell ref="M4:O4"/>
    <mergeCell ref="Q4:S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sqref="A1:K1"/>
    </sheetView>
  </sheetViews>
  <sheetFormatPr baseColWidth="10" defaultColWidth="8.83203125" defaultRowHeight="14"/>
  <cols>
    <col min="1" max="1" width="6.33203125" customWidth="1"/>
    <col min="2" max="2" width="10.6640625" customWidth="1"/>
    <col min="3" max="3" width="13" customWidth="1"/>
    <col min="4" max="4" width="2.6640625" customWidth="1"/>
    <col min="5" max="5" width="6.33203125" customWidth="1"/>
    <col min="6" max="6" width="10.6640625" customWidth="1"/>
    <col min="7" max="7" width="13" customWidth="1"/>
    <col min="8" max="8" width="2.6640625" customWidth="1"/>
    <col min="9" max="9" width="6.33203125" customWidth="1"/>
    <col min="10" max="10" width="10.6640625" customWidth="1"/>
    <col min="11" max="11" width="13" customWidth="1"/>
    <col min="12" max="12" width="2.6640625" customWidth="1"/>
    <col min="13" max="13" width="6.33203125" customWidth="1"/>
    <col min="14" max="14" width="10.6640625" customWidth="1"/>
    <col min="15" max="15" width="13" customWidth="1"/>
    <col min="16" max="16" width="2.6640625" customWidth="1"/>
    <col min="17" max="17" width="6.33203125" customWidth="1"/>
    <col min="18" max="18" width="10.6640625" customWidth="1"/>
    <col min="19" max="19" width="13" customWidth="1"/>
    <col min="20" max="20" width="2.6640625" customWidth="1"/>
  </cols>
  <sheetData>
    <row r="1" spans="1:15" ht="32" customHeight="1">
      <c r="A1" s="8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5" ht="26.75" customHeight="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5" ht="15" thickBot="1"/>
    <row r="4" spans="1:15" ht="26.75" customHeight="1">
      <c r="A4" s="13" t="s">
        <v>40</v>
      </c>
      <c r="B4" s="14"/>
      <c r="C4" s="15"/>
      <c r="E4" s="13" t="s">
        <v>41</v>
      </c>
      <c r="F4" s="14"/>
      <c r="G4" s="15"/>
      <c r="I4" s="13" t="s">
        <v>42</v>
      </c>
      <c r="J4" s="14"/>
      <c r="K4" s="15"/>
      <c r="M4" s="13" t="s">
        <v>43</v>
      </c>
      <c r="N4" s="14"/>
      <c r="O4" s="20"/>
    </row>
    <row r="5" spans="1:15" ht="32">
      <c r="A5" s="16" t="s">
        <v>1</v>
      </c>
      <c r="B5" s="17" t="s">
        <v>2</v>
      </c>
      <c r="C5" s="18" t="s">
        <v>3</v>
      </c>
      <c r="E5" s="16" t="s">
        <v>1</v>
      </c>
      <c r="F5" s="17" t="s">
        <v>2</v>
      </c>
      <c r="G5" s="18" t="s">
        <v>3</v>
      </c>
      <c r="I5" s="16" t="s">
        <v>1</v>
      </c>
      <c r="J5" s="17" t="s">
        <v>2</v>
      </c>
      <c r="K5" s="18" t="s">
        <v>3</v>
      </c>
      <c r="M5" s="16" t="s">
        <v>1</v>
      </c>
      <c r="N5" s="17" t="s">
        <v>2</v>
      </c>
      <c r="O5" s="19" t="s">
        <v>3</v>
      </c>
    </row>
    <row r="6" spans="1:15" ht="15">
      <c r="A6" s="27">
        <v>1</v>
      </c>
      <c r="B6" s="28" t="s">
        <v>6</v>
      </c>
      <c r="C6" s="29">
        <v>750</v>
      </c>
      <c r="E6" s="21">
        <v>1</v>
      </c>
      <c r="F6" s="22" t="s">
        <v>6</v>
      </c>
      <c r="G6" s="23">
        <v>750</v>
      </c>
      <c r="I6" s="21">
        <v>1</v>
      </c>
      <c r="J6" s="22" t="s">
        <v>6</v>
      </c>
      <c r="K6" s="23">
        <v>750</v>
      </c>
      <c r="M6" s="21">
        <v>1</v>
      </c>
      <c r="N6" s="22" t="s">
        <v>6</v>
      </c>
      <c r="O6" s="23">
        <v>750</v>
      </c>
    </row>
    <row r="7" spans="1:15" ht="15">
      <c r="A7" s="27">
        <v>2</v>
      </c>
      <c r="B7" s="28" t="s">
        <v>4</v>
      </c>
      <c r="C7" s="29">
        <v>750</v>
      </c>
      <c r="E7" s="21">
        <v>2</v>
      </c>
      <c r="F7" s="22" t="s">
        <v>4</v>
      </c>
      <c r="G7" s="23">
        <v>750</v>
      </c>
      <c r="I7" s="21">
        <v>2</v>
      </c>
      <c r="J7" s="22" t="s">
        <v>4</v>
      </c>
      <c r="K7" s="23">
        <v>750</v>
      </c>
      <c r="M7" s="21">
        <v>2</v>
      </c>
      <c r="N7" s="22" t="s">
        <v>4</v>
      </c>
      <c r="O7" s="23">
        <v>750</v>
      </c>
    </row>
    <row r="8" spans="1:15" ht="15">
      <c r="A8" s="27">
        <v>3</v>
      </c>
      <c r="B8" s="28" t="s">
        <v>7</v>
      </c>
      <c r="C8" s="29">
        <v>800</v>
      </c>
      <c r="E8" s="21">
        <v>3</v>
      </c>
      <c r="F8" s="22" t="s">
        <v>7</v>
      </c>
      <c r="G8" s="23">
        <v>800</v>
      </c>
      <c r="I8" s="21">
        <v>3</v>
      </c>
      <c r="J8" s="22" t="s">
        <v>7</v>
      </c>
      <c r="K8" s="33">
        <v>400</v>
      </c>
      <c r="M8" s="21">
        <v>3</v>
      </c>
      <c r="N8" s="22" t="s">
        <v>7</v>
      </c>
      <c r="O8" s="33">
        <v>400</v>
      </c>
    </row>
    <row r="9" spans="1:15" ht="15">
      <c r="A9" s="27">
        <v>4</v>
      </c>
      <c r="B9" s="28" t="s">
        <v>8</v>
      </c>
      <c r="C9" s="29">
        <v>30</v>
      </c>
      <c r="E9" s="21">
        <v>4</v>
      </c>
      <c r="F9" s="22" t="s">
        <v>8</v>
      </c>
      <c r="G9" s="23">
        <v>30</v>
      </c>
      <c r="I9" s="21">
        <v>4</v>
      </c>
      <c r="J9" s="22" t="s">
        <v>8</v>
      </c>
      <c r="K9" s="23">
        <v>30</v>
      </c>
      <c r="M9" s="21">
        <v>4</v>
      </c>
      <c r="N9" s="22" t="s">
        <v>8</v>
      </c>
      <c r="O9" s="23">
        <v>30</v>
      </c>
    </row>
    <row r="10" spans="1:15" ht="15">
      <c r="A10" s="27">
        <v>5</v>
      </c>
      <c r="B10" s="28" t="s">
        <v>10</v>
      </c>
      <c r="C10" s="29">
        <v>1000</v>
      </c>
      <c r="E10" s="21">
        <v>5</v>
      </c>
      <c r="F10" s="34" t="s">
        <v>11</v>
      </c>
      <c r="G10" s="33">
        <v>100</v>
      </c>
      <c r="I10" s="21">
        <v>5</v>
      </c>
      <c r="J10" s="22" t="s">
        <v>10</v>
      </c>
      <c r="K10" s="23">
        <v>1000</v>
      </c>
      <c r="M10" s="21">
        <v>5</v>
      </c>
      <c r="N10" s="34" t="s">
        <v>11</v>
      </c>
      <c r="O10" s="33">
        <v>500</v>
      </c>
    </row>
    <row r="11" spans="1:15" ht="16" thickBot="1">
      <c r="A11" s="30">
        <v>6</v>
      </c>
      <c r="B11" s="31" t="s">
        <v>11</v>
      </c>
      <c r="C11" s="32">
        <v>100</v>
      </c>
      <c r="E11" s="24">
        <v>6</v>
      </c>
      <c r="F11" s="35" t="s">
        <v>10</v>
      </c>
      <c r="G11" s="36">
        <v>1000</v>
      </c>
      <c r="I11" s="24">
        <v>6</v>
      </c>
      <c r="J11" s="25" t="s">
        <v>11</v>
      </c>
      <c r="K11" s="26">
        <v>100</v>
      </c>
      <c r="M11" s="24">
        <v>6</v>
      </c>
      <c r="N11" s="35" t="s">
        <v>10</v>
      </c>
      <c r="O11" s="36">
        <v>1000</v>
      </c>
    </row>
    <row r="12" spans="1:15">
      <c r="A12" s="1"/>
      <c r="B12" s="2"/>
      <c r="C12" s="3"/>
      <c r="E12" s="1"/>
      <c r="F12" s="2"/>
      <c r="G12" s="3"/>
      <c r="I12" s="1"/>
      <c r="J12" s="2"/>
      <c r="K12" s="3"/>
    </row>
    <row r="13" spans="1:15" ht="15">
      <c r="A13" s="41" t="s">
        <v>15</v>
      </c>
      <c r="C13" s="4"/>
      <c r="G13" s="4"/>
      <c r="K13" s="4"/>
    </row>
    <row r="14" spans="1:15" ht="30">
      <c r="A14" s="38"/>
      <c r="B14" s="42" t="s">
        <v>44</v>
      </c>
      <c r="C14" s="4"/>
      <c r="G14" s="4"/>
      <c r="K14" s="4"/>
    </row>
    <row r="15" spans="1:15" ht="26.75" customHeight="1">
      <c r="A15" s="39"/>
      <c r="B15" s="37" t="s">
        <v>45</v>
      </c>
      <c r="G15" s="4"/>
      <c r="K15" s="4"/>
    </row>
    <row r="16" spans="1:15">
      <c r="A16" s="40"/>
      <c r="B16" s="37" t="s">
        <v>46</v>
      </c>
      <c r="G16" s="5"/>
      <c r="K16" s="5"/>
    </row>
    <row r="17" spans="1:11">
      <c r="G17" s="4"/>
      <c r="K17" s="4"/>
    </row>
    <row r="18" spans="1:11">
      <c r="G18" s="4"/>
      <c r="K18" s="4"/>
    </row>
    <row r="19" spans="1:11">
      <c r="G19" s="4"/>
      <c r="K19" s="4"/>
    </row>
    <row r="20" spans="1:11">
      <c r="G20" s="4"/>
      <c r="K20" s="4"/>
    </row>
    <row r="21" spans="1:11">
      <c r="G21" s="4"/>
      <c r="K21" s="4"/>
    </row>
    <row r="22" spans="1:11">
      <c r="G22" s="4"/>
      <c r="K22" s="4"/>
    </row>
    <row r="23" spans="1:11">
      <c r="A23" s="1"/>
      <c r="B23" s="2"/>
      <c r="C23" s="3"/>
      <c r="G23" s="4"/>
      <c r="K23" s="4"/>
    </row>
    <row r="24" spans="1:11">
      <c r="C24" s="4"/>
      <c r="G24" s="4"/>
      <c r="K24" s="4"/>
    </row>
    <row r="25" spans="1:11">
      <c r="C25" s="4"/>
      <c r="G25" s="4"/>
      <c r="K25" s="4"/>
    </row>
  </sheetData>
  <mergeCells count="6">
    <mergeCell ref="M4:O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5"/>
  <sheetViews>
    <sheetView workbookViewId="0">
      <selection activeCell="M26" sqref="M26"/>
    </sheetView>
  </sheetViews>
  <sheetFormatPr baseColWidth="10" defaultColWidth="8.83203125" defaultRowHeight="14"/>
  <cols>
    <col min="1" max="1" width="6.33203125" customWidth="1"/>
    <col min="2" max="2" width="10.6640625" customWidth="1"/>
    <col min="3" max="3" width="13" customWidth="1"/>
    <col min="4" max="4" width="2.6640625" customWidth="1"/>
    <col min="5" max="5" width="6.33203125" customWidth="1"/>
    <col min="6" max="6" width="10.6640625" customWidth="1"/>
    <col min="7" max="7" width="13" customWidth="1"/>
    <col min="8" max="8" width="2.6640625" customWidth="1"/>
    <col min="9" max="9" width="6.33203125" customWidth="1"/>
    <col min="10" max="10" width="10.6640625" customWidth="1"/>
    <col min="11" max="11" width="13" customWidth="1"/>
    <col min="12" max="12" width="2.6640625" customWidth="1"/>
    <col min="13" max="13" width="6.33203125" customWidth="1"/>
    <col min="14" max="14" width="10.6640625" customWidth="1"/>
    <col min="15" max="15" width="13" customWidth="1"/>
    <col min="16" max="16" width="2.6640625" customWidth="1"/>
    <col min="17" max="17" width="6.33203125" customWidth="1"/>
    <col min="18" max="18" width="10.6640625" customWidth="1"/>
    <col min="19" max="19" width="13" customWidth="1"/>
    <col min="20" max="20" width="2.6640625" customWidth="1"/>
  </cols>
  <sheetData>
    <row r="1" spans="1:19" ht="32" customHeight="1">
      <c r="A1" s="8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26.75" customHeight="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9" ht="15" thickBot="1"/>
    <row r="4" spans="1:19" ht="26.75" customHeight="1">
      <c r="A4" s="13" t="s">
        <v>47</v>
      </c>
      <c r="B4" s="14"/>
      <c r="C4" s="15"/>
      <c r="E4" s="13" t="s">
        <v>48</v>
      </c>
      <c r="F4" s="14"/>
      <c r="G4" s="15"/>
      <c r="I4" s="13" t="s">
        <v>49</v>
      </c>
      <c r="J4" s="14"/>
      <c r="K4" s="15"/>
      <c r="M4" s="13" t="s">
        <v>50</v>
      </c>
      <c r="N4" s="14"/>
      <c r="O4" s="20"/>
      <c r="Q4" s="13" t="s">
        <v>51</v>
      </c>
      <c r="R4" s="14"/>
      <c r="S4" s="20"/>
    </row>
    <row r="5" spans="1:19" ht="32">
      <c r="A5" s="16" t="s">
        <v>1</v>
      </c>
      <c r="B5" s="17" t="s">
        <v>2</v>
      </c>
      <c r="C5" s="18" t="s">
        <v>3</v>
      </c>
      <c r="E5" s="16" t="s">
        <v>1</v>
      </c>
      <c r="F5" s="17" t="s">
        <v>2</v>
      </c>
      <c r="G5" s="18" t="s">
        <v>3</v>
      </c>
      <c r="I5" s="16" t="s">
        <v>1</v>
      </c>
      <c r="J5" s="17" t="s">
        <v>2</v>
      </c>
      <c r="K5" s="18" t="s">
        <v>3</v>
      </c>
      <c r="M5" s="16" t="s">
        <v>1</v>
      </c>
      <c r="N5" s="17" t="s">
        <v>2</v>
      </c>
      <c r="O5" s="19" t="s">
        <v>3</v>
      </c>
      <c r="Q5" s="16" t="s">
        <v>1</v>
      </c>
      <c r="R5" s="17" t="s">
        <v>2</v>
      </c>
      <c r="S5" s="19" t="s">
        <v>3</v>
      </c>
    </row>
    <row r="6" spans="1:19" ht="15">
      <c r="A6" s="27">
        <v>1</v>
      </c>
      <c r="B6" s="28" t="s">
        <v>6</v>
      </c>
      <c r="C6" s="29">
        <v>750</v>
      </c>
      <c r="E6" s="21">
        <v>1</v>
      </c>
      <c r="F6" s="22" t="s">
        <v>6</v>
      </c>
      <c r="G6" s="23">
        <v>750</v>
      </c>
      <c r="I6" s="21">
        <v>1</v>
      </c>
      <c r="J6" s="22" t="s">
        <v>6</v>
      </c>
      <c r="K6" s="23">
        <v>750</v>
      </c>
      <c r="M6" s="21">
        <v>1</v>
      </c>
      <c r="N6" s="22" t="s">
        <v>6</v>
      </c>
      <c r="O6" s="23">
        <v>750</v>
      </c>
      <c r="Q6" s="21">
        <v>1</v>
      </c>
      <c r="R6" s="22" t="s">
        <v>6</v>
      </c>
      <c r="S6" s="23">
        <v>750</v>
      </c>
    </row>
    <row r="7" spans="1:19" ht="15">
      <c r="A7" s="27">
        <v>2</v>
      </c>
      <c r="B7" s="28" t="s">
        <v>4</v>
      </c>
      <c r="C7" s="29">
        <v>750</v>
      </c>
      <c r="E7" s="21">
        <v>2</v>
      </c>
      <c r="F7" s="22" t="s">
        <v>4</v>
      </c>
      <c r="G7" s="23">
        <v>750</v>
      </c>
      <c r="I7" s="21">
        <v>2</v>
      </c>
      <c r="J7" s="22" t="s">
        <v>4</v>
      </c>
      <c r="K7" s="23">
        <v>750</v>
      </c>
      <c r="M7" s="21">
        <v>2</v>
      </c>
      <c r="N7" s="22" t="s">
        <v>4</v>
      </c>
      <c r="O7" s="23">
        <v>750</v>
      </c>
      <c r="Q7" s="21">
        <v>2</v>
      </c>
      <c r="R7" s="22" t="s">
        <v>4</v>
      </c>
      <c r="S7" s="23">
        <v>750</v>
      </c>
    </row>
    <row r="8" spans="1:19" ht="15">
      <c r="A8" s="27">
        <v>3</v>
      </c>
      <c r="B8" s="28" t="s">
        <v>7</v>
      </c>
      <c r="C8" s="29">
        <v>400</v>
      </c>
      <c r="E8" s="21">
        <v>3</v>
      </c>
      <c r="F8" s="22" t="s">
        <v>7</v>
      </c>
      <c r="G8" s="23">
        <v>400</v>
      </c>
      <c r="I8" s="21">
        <v>3</v>
      </c>
      <c r="J8" s="22" t="s">
        <v>7</v>
      </c>
      <c r="K8" s="23">
        <v>400</v>
      </c>
      <c r="M8" s="21">
        <v>3</v>
      </c>
      <c r="N8" s="22" t="s">
        <v>7</v>
      </c>
      <c r="O8" s="23">
        <v>400</v>
      </c>
      <c r="Q8" s="21">
        <v>3</v>
      </c>
      <c r="R8" s="34" t="s">
        <v>8</v>
      </c>
      <c r="S8" s="33">
        <v>30</v>
      </c>
    </row>
    <row r="9" spans="1:19" ht="15">
      <c r="A9" s="27">
        <v>4</v>
      </c>
      <c r="B9" s="28" t="s">
        <v>8</v>
      </c>
      <c r="C9" s="29">
        <v>30</v>
      </c>
      <c r="E9" s="21">
        <v>4</v>
      </c>
      <c r="F9" s="22" t="s">
        <v>8</v>
      </c>
      <c r="G9" s="23">
        <v>30</v>
      </c>
      <c r="I9" s="21">
        <v>4</v>
      </c>
      <c r="J9" s="22" t="s">
        <v>8</v>
      </c>
      <c r="K9" s="23">
        <v>30</v>
      </c>
      <c r="M9" s="21">
        <v>4</v>
      </c>
      <c r="N9" s="22" t="s">
        <v>8</v>
      </c>
      <c r="O9" s="23">
        <v>30</v>
      </c>
      <c r="Q9" s="21">
        <v>4</v>
      </c>
      <c r="R9" s="34" t="s">
        <v>7</v>
      </c>
      <c r="S9" s="33">
        <v>400</v>
      </c>
    </row>
    <row r="10" spans="1:19" ht="15">
      <c r="A10" s="27">
        <v>5</v>
      </c>
      <c r="B10" s="28" t="s">
        <v>10</v>
      </c>
      <c r="C10" s="29">
        <v>1000</v>
      </c>
      <c r="E10" s="21">
        <v>5</v>
      </c>
      <c r="F10" s="22" t="s">
        <v>10</v>
      </c>
      <c r="G10" s="23">
        <v>1000</v>
      </c>
      <c r="I10" s="21">
        <v>5</v>
      </c>
      <c r="J10" s="22" t="s">
        <v>10</v>
      </c>
      <c r="K10" s="23">
        <v>1000</v>
      </c>
      <c r="M10" s="21">
        <v>5</v>
      </c>
      <c r="N10" s="22" t="s">
        <v>10</v>
      </c>
      <c r="O10" s="23">
        <v>1000</v>
      </c>
      <c r="Q10" s="21">
        <v>5</v>
      </c>
      <c r="R10" s="22" t="s">
        <v>10</v>
      </c>
      <c r="S10" s="23">
        <v>1000</v>
      </c>
    </row>
    <row r="11" spans="1:19" ht="15">
      <c r="A11" s="27">
        <v>6</v>
      </c>
      <c r="B11" s="28" t="s">
        <v>12</v>
      </c>
      <c r="C11" s="29">
        <v>0</v>
      </c>
      <c r="E11" s="21">
        <v>6</v>
      </c>
      <c r="F11" s="22" t="s">
        <v>12</v>
      </c>
      <c r="G11" s="33">
        <v>25</v>
      </c>
      <c r="I11" s="21">
        <v>6</v>
      </c>
      <c r="J11" s="22" t="s">
        <v>12</v>
      </c>
      <c r="K11" s="33">
        <v>50</v>
      </c>
      <c r="M11" s="21">
        <v>6</v>
      </c>
      <c r="N11" s="22" t="s">
        <v>12</v>
      </c>
      <c r="O11" s="33">
        <v>75</v>
      </c>
      <c r="Q11" s="21">
        <v>6</v>
      </c>
      <c r="R11" s="68" t="s">
        <v>12</v>
      </c>
      <c r="S11" s="69">
        <v>0</v>
      </c>
    </row>
    <row r="12" spans="1:19" ht="16" thickBot="1">
      <c r="A12" s="30">
        <v>7</v>
      </c>
      <c r="B12" s="31" t="s">
        <v>5</v>
      </c>
      <c r="C12" s="32">
        <v>500</v>
      </c>
      <c r="E12" s="24">
        <v>7</v>
      </c>
      <c r="F12" s="25" t="s">
        <v>5</v>
      </c>
      <c r="G12" s="36">
        <v>475</v>
      </c>
      <c r="I12" s="24">
        <v>7</v>
      </c>
      <c r="J12" s="25" t="s">
        <v>5</v>
      </c>
      <c r="K12" s="36">
        <v>450</v>
      </c>
      <c r="M12" s="24">
        <v>7</v>
      </c>
      <c r="N12" s="25" t="s">
        <v>5</v>
      </c>
      <c r="O12" s="36">
        <v>425</v>
      </c>
      <c r="Q12" s="24">
        <v>7</v>
      </c>
      <c r="R12" s="25" t="s">
        <v>5</v>
      </c>
      <c r="S12" s="36">
        <v>425</v>
      </c>
    </row>
    <row r="13" spans="1:19">
      <c r="C13" s="4"/>
      <c r="G13" s="4"/>
      <c r="K13" s="4"/>
    </row>
    <row r="14" spans="1:19" ht="15">
      <c r="A14" s="41" t="s">
        <v>15</v>
      </c>
      <c r="C14" s="4"/>
      <c r="G14" s="4"/>
      <c r="K14" s="4"/>
    </row>
    <row r="15" spans="1:19" ht="26.75" customHeight="1">
      <c r="A15" s="38"/>
      <c r="B15" s="42" t="s">
        <v>52</v>
      </c>
      <c r="G15" s="4"/>
      <c r="K15" s="4"/>
    </row>
    <row r="16" spans="1:19">
      <c r="A16" s="39"/>
      <c r="B16" s="37" t="s">
        <v>53</v>
      </c>
      <c r="G16" s="5"/>
      <c r="K16" s="5"/>
    </row>
    <row r="17" spans="1:11">
      <c r="A17" s="40"/>
      <c r="B17" s="37" t="s">
        <v>54</v>
      </c>
      <c r="G17" s="4"/>
      <c r="K17" s="4"/>
    </row>
    <row r="18" spans="1:11">
      <c r="G18" s="4"/>
      <c r="K18" s="4"/>
    </row>
    <row r="19" spans="1:11">
      <c r="G19" s="4"/>
      <c r="K19" s="4"/>
    </row>
    <row r="20" spans="1:11">
      <c r="G20" s="4"/>
      <c r="K20" s="4"/>
    </row>
    <row r="21" spans="1:11">
      <c r="G21" s="4"/>
      <c r="K21" s="4"/>
    </row>
    <row r="22" spans="1:11">
      <c r="G22" s="4"/>
      <c r="K22" s="4"/>
    </row>
    <row r="23" spans="1:11">
      <c r="G23" s="4"/>
      <c r="K23" s="4"/>
    </row>
    <row r="24" spans="1:11">
      <c r="C24" s="4"/>
      <c r="G24" s="4"/>
      <c r="K24" s="4"/>
    </row>
    <row r="25" spans="1:11">
      <c r="C25" s="4"/>
      <c r="G25" s="4"/>
      <c r="K25" s="4"/>
    </row>
  </sheetData>
  <mergeCells count="7">
    <mergeCell ref="M4:O4"/>
    <mergeCell ref="Q4:S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>
      <selection activeCell="O12" sqref="O12"/>
    </sheetView>
  </sheetViews>
  <sheetFormatPr baseColWidth="10" defaultColWidth="8.83203125" defaultRowHeight="14"/>
  <cols>
    <col min="1" max="1" width="6.33203125" customWidth="1"/>
    <col min="2" max="2" width="10.6640625" customWidth="1"/>
    <col min="3" max="3" width="13" customWidth="1"/>
    <col min="4" max="4" width="2.6640625" customWidth="1"/>
    <col min="5" max="5" width="6.33203125" customWidth="1"/>
    <col min="6" max="6" width="10.6640625" customWidth="1"/>
    <col min="7" max="7" width="13" customWidth="1"/>
    <col min="8" max="8" width="2.6640625" customWidth="1"/>
    <col min="9" max="9" width="6.33203125" customWidth="1"/>
    <col min="10" max="10" width="10.6640625" customWidth="1"/>
    <col min="11" max="11" width="13" customWidth="1"/>
    <col min="12" max="12" width="2.6640625" customWidth="1"/>
    <col min="13" max="13" width="6.33203125" customWidth="1"/>
    <col min="14" max="14" width="10.6640625" customWidth="1"/>
    <col min="15" max="15" width="13" customWidth="1"/>
    <col min="16" max="16" width="2.6640625" customWidth="1"/>
    <col min="17" max="17" width="6.33203125" customWidth="1"/>
    <col min="18" max="18" width="10.6640625" customWidth="1"/>
    <col min="19" max="19" width="13" customWidth="1"/>
    <col min="20" max="20" width="2.6640625" customWidth="1"/>
  </cols>
  <sheetData>
    <row r="1" spans="1:15" ht="32" customHeight="1">
      <c r="A1" s="8" t="s">
        <v>81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5" ht="26.75" customHeight="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5" ht="15" thickBot="1"/>
    <row r="4" spans="1:15" ht="26.75" customHeight="1">
      <c r="A4" s="13" t="s">
        <v>55</v>
      </c>
      <c r="B4" s="14"/>
      <c r="C4" s="15"/>
      <c r="E4" s="13" t="s">
        <v>56</v>
      </c>
      <c r="F4" s="14"/>
      <c r="G4" s="15"/>
      <c r="I4" s="13" t="s">
        <v>57</v>
      </c>
      <c r="J4" s="14"/>
      <c r="K4" s="15"/>
      <c r="M4" s="13" t="s">
        <v>58</v>
      </c>
      <c r="N4" s="14"/>
      <c r="O4" s="15"/>
    </row>
    <row r="5" spans="1:15" ht="32">
      <c r="A5" s="16" t="s">
        <v>1</v>
      </c>
      <c r="B5" s="17" t="s">
        <v>2</v>
      </c>
      <c r="C5" s="18" t="s">
        <v>3</v>
      </c>
      <c r="E5" s="16" t="s">
        <v>1</v>
      </c>
      <c r="F5" s="17" t="s">
        <v>2</v>
      </c>
      <c r="G5" s="18" t="s">
        <v>3</v>
      </c>
      <c r="I5" s="16" t="s">
        <v>1</v>
      </c>
      <c r="J5" s="17" t="s">
        <v>2</v>
      </c>
      <c r="K5" s="18" t="s">
        <v>3</v>
      </c>
      <c r="M5" s="16" t="s">
        <v>1</v>
      </c>
      <c r="N5" s="17" t="s">
        <v>2</v>
      </c>
      <c r="O5" s="18" t="s">
        <v>3</v>
      </c>
    </row>
    <row r="6" spans="1:15" ht="15">
      <c r="A6" s="27">
        <v>1</v>
      </c>
      <c r="B6" s="28" t="s">
        <v>6</v>
      </c>
      <c r="C6" s="29">
        <v>750</v>
      </c>
      <c r="E6" s="21">
        <v>1</v>
      </c>
      <c r="F6" s="22" t="s">
        <v>6</v>
      </c>
      <c r="G6" s="23">
        <v>750</v>
      </c>
      <c r="I6" s="21">
        <v>1</v>
      </c>
      <c r="J6" s="22" t="s">
        <v>6</v>
      </c>
      <c r="K6" s="23">
        <v>750</v>
      </c>
      <c r="M6" s="21">
        <v>1</v>
      </c>
      <c r="N6" s="22" t="s">
        <v>6</v>
      </c>
      <c r="O6" s="23">
        <v>750</v>
      </c>
    </row>
    <row r="7" spans="1:15" ht="15">
      <c r="A7" s="27">
        <v>2</v>
      </c>
      <c r="B7" s="28" t="s">
        <v>4</v>
      </c>
      <c r="C7" s="29">
        <v>750</v>
      </c>
      <c r="E7" s="21">
        <v>2</v>
      </c>
      <c r="F7" s="22" t="s">
        <v>4</v>
      </c>
      <c r="G7" s="23">
        <v>750</v>
      </c>
      <c r="I7" s="21">
        <v>2</v>
      </c>
      <c r="J7" s="22" t="s">
        <v>4</v>
      </c>
      <c r="K7" s="23">
        <v>750</v>
      </c>
      <c r="M7" s="21">
        <v>2</v>
      </c>
      <c r="N7" s="22" t="s">
        <v>4</v>
      </c>
      <c r="O7" s="23">
        <v>750</v>
      </c>
    </row>
    <row r="8" spans="1:15" ht="15">
      <c r="A8" s="27">
        <v>3</v>
      </c>
      <c r="B8" s="28" t="s">
        <v>7</v>
      </c>
      <c r="C8" s="29">
        <v>400</v>
      </c>
      <c r="E8" s="21">
        <v>3</v>
      </c>
      <c r="F8" s="22" t="s">
        <v>7</v>
      </c>
      <c r="G8" s="23">
        <v>400</v>
      </c>
      <c r="I8" s="21">
        <v>3</v>
      </c>
      <c r="J8" s="22" t="s">
        <v>7</v>
      </c>
      <c r="K8" s="23">
        <v>400</v>
      </c>
      <c r="M8" s="21">
        <v>3</v>
      </c>
      <c r="N8" s="22" t="s">
        <v>7</v>
      </c>
      <c r="O8" s="23">
        <v>400</v>
      </c>
    </row>
    <row r="9" spans="1:15" ht="15">
      <c r="A9" s="27">
        <v>4</v>
      </c>
      <c r="B9" s="28" t="s">
        <v>8</v>
      </c>
      <c r="C9" s="29" t="s">
        <v>9</v>
      </c>
      <c r="E9" s="21">
        <v>4</v>
      </c>
      <c r="F9" s="22" t="s">
        <v>8</v>
      </c>
      <c r="G9" s="23" t="s">
        <v>9</v>
      </c>
      <c r="I9" s="21">
        <v>4</v>
      </c>
      <c r="J9" s="22" t="s">
        <v>8</v>
      </c>
      <c r="K9" s="23" t="s">
        <v>9</v>
      </c>
      <c r="M9" s="21">
        <v>4</v>
      </c>
      <c r="N9" s="22" t="s">
        <v>8</v>
      </c>
      <c r="O9" s="23" t="s">
        <v>9</v>
      </c>
    </row>
    <row r="10" spans="1:15" ht="15">
      <c r="A10" s="27">
        <v>5</v>
      </c>
      <c r="B10" s="28" t="s">
        <v>12</v>
      </c>
      <c r="C10" s="29">
        <v>0</v>
      </c>
      <c r="E10" s="21">
        <v>5</v>
      </c>
      <c r="F10" s="22" t="s">
        <v>12</v>
      </c>
      <c r="G10" s="33">
        <v>25</v>
      </c>
      <c r="I10" s="21">
        <v>5</v>
      </c>
      <c r="J10" s="22" t="s">
        <v>12</v>
      </c>
      <c r="K10" s="33">
        <v>50</v>
      </c>
      <c r="M10" s="21">
        <v>5</v>
      </c>
      <c r="N10" s="22" t="s">
        <v>12</v>
      </c>
      <c r="O10" s="33">
        <v>75</v>
      </c>
    </row>
    <row r="11" spans="1:15" ht="15">
      <c r="A11" s="27">
        <v>6</v>
      </c>
      <c r="B11" s="28" t="s">
        <v>10</v>
      </c>
      <c r="C11" s="29">
        <v>1000</v>
      </c>
      <c r="E11" s="21">
        <v>6</v>
      </c>
      <c r="F11" s="22" t="s">
        <v>10</v>
      </c>
      <c r="G11" s="23">
        <v>1000</v>
      </c>
      <c r="I11" s="21">
        <v>6</v>
      </c>
      <c r="J11" s="22" t="s">
        <v>10</v>
      </c>
      <c r="K11" s="23">
        <v>1000</v>
      </c>
      <c r="M11" s="21">
        <v>6</v>
      </c>
      <c r="N11" s="22" t="s">
        <v>10</v>
      </c>
      <c r="O11" s="23">
        <v>1000</v>
      </c>
    </row>
    <row r="12" spans="1:15" ht="16" thickBot="1">
      <c r="A12" s="30">
        <v>7</v>
      </c>
      <c r="B12" s="31" t="s">
        <v>5</v>
      </c>
      <c r="C12" s="32">
        <v>500</v>
      </c>
      <c r="E12" s="24">
        <v>7</v>
      </c>
      <c r="F12" s="25" t="s">
        <v>5</v>
      </c>
      <c r="G12" s="36">
        <v>475</v>
      </c>
      <c r="I12" s="24">
        <v>7</v>
      </c>
      <c r="J12" s="25" t="s">
        <v>5</v>
      </c>
      <c r="K12" s="36">
        <v>450</v>
      </c>
      <c r="M12" s="24">
        <v>7</v>
      </c>
      <c r="N12" s="25" t="s">
        <v>5</v>
      </c>
      <c r="O12" s="36">
        <v>425</v>
      </c>
    </row>
    <row r="13" spans="1:15">
      <c r="C13" s="4"/>
      <c r="G13" s="4"/>
      <c r="K13" s="4"/>
    </row>
    <row r="14" spans="1:15" ht="15">
      <c r="A14" s="41" t="s">
        <v>15</v>
      </c>
      <c r="C14" s="4"/>
      <c r="G14" s="4"/>
      <c r="K14" s="4"/>
    </row>
    <row r="15" spans="1:15" ht="30">
      <c r="A15" s="38"/>
      <c r="B15" s="42" t="s">
        <v>59</v>
      </c>
      <c r="C15" s="4"/>
      <c r="G15" s="4"/>
      <c r="K15" s="4"/>
    </row>
    <row r="16" spans="1:15">
      <c r="A16" s="39"/>
      <c r="B16" s="37" t="s">
        <v>60</v>
      </c>
      <c r="C16" s="5"/>
      <c r="G16" s="5"/>
      <c r="K16" s="5"/>
    </row>
    <row r="17" spans="1:11">
      <c r="A17" s="40"/>
      <c r="B17" s="37" t="s">
        <v>61</v>
      </c>
      <c r="C17" s="4"/>
      <c r="G17" s="4"/>
      <c r="K17" s="4"/>
    </row>
    <row r="18" spans="1:11">
      <c r="C18" s="4"/>
      <c r="G18" s="4"/>
      <c r="K18" s="4"/>
    </row>
    <row r="19" spans="1:11">
      <c r="C19" s="4"/>
      <c r="G19" s="4"/>
      <c r="K19" s="4"/>
    </row>
    <row r="20" spans="1:11">
      <c r="C20" s="4"/>
      <c r="G20" s="4"/>
      <c r="K20" s="4"/>
    </row>
    <row r="21" spans="1:11">
      <c r="C21" s="4"/>
      <c r="G21" s="4"/>
      <c r="K21" s="4"/>
    </row>
    <row r="22" spans="1:11">
      <c r="C22" s="4"/>
      <c r="G22" s="4"/>
      <c r="K22" s="4"/>
    </row>
    <row r="23" spans="1:11">
      <c r="C23" s="4"/>
      <c r="G23" s="4"/>
      <c r="K23" s="4"/>
    </row>
    <row r="24" spans="1:11">
      <c r="C24" s="4"/>
      <c r="G24" s="4"/>
      <c r="K24" s="4"/>
    </row>
    <row r="25" spans="1:11">
      <c r="C25" s="4"/>
      <c r="G25" s="4"/>
      <c r="K25" s="4"/>
    </row>
  </sheetData>
  <mergeCells count="6">
    <mergeCell ref="M4:O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AS026</vt:lpstr>
      <vt:lpstr>AS027</vt:lpstr>
      <vt:lpstr>AS028</vt:lpstr>
      <vt:lpstr>AS029</vt:lpstr>
      <vt:lpstr>AS030</vt:lpstr>
      <vt:lpstr>AS031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2026-06-10T11:51:45Z</dcterms:modified>
</cp:coreProperties>
</file>